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" sheetId="1" state="visible" r:id="rId3"/>
    <sheet name="Rice-TEclass2" sheetId="2" state="visible" r:id="rId4"/>
    <sheet name="Fruit fly-TEclass2" sheetId="3" state="visible" r:id="rId5"/>
    <sheet name="Rice-DeepTE" sheetId="4" state="visible" r:id="rId6"/>
    <sheet name="Fruit fly-DeepTE" sheetId="5" state="visible" r:id="rId7"/>
    <sheet name="Rice-TERL" sheetId="6" state="visible" r:id="rId8"/>
    <sheet name="Fruit fly-TER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<sst xmlns="http://schemas.openxmlformats.org/spreadsheetml/2006/main" count="14324" uniqueCount="900">
  <si>
    <t xml:space="preserve">Training steps</t>
  </si>
  <si>
    <t xml:space="preserve">Precision</t>
  </si>
  <si>
    <t xml:space="preserve">Recall</t>
  </si>
  <si>
    <t xml:space="preserve">F1-score</t>
  </si>
  <si>
    <t xml:space="preserve">Support</t>
  </si>
  <si>
    <t xml:space="preserve">Checkpoint</t>
  </si>
  <si>
    <t xml:space="preserve">checkpoint-412</t>
  </si>
  <si>
    <t xml:space="preserve">checkpoint-824</t>
  </si>
  <si>
    <t xml:space="preserve">checkpoint-1236</t>
  </si>
  <si>
    <t xml:space="preserve">checkpoint-1648</t>
  </si>
  <si>
    <t xml:space="preserve">checkpoint-2060</t>
  </si>
  <si>
    <t xml:space="preserve">checkpoint-2472</t>
  </si>
  <si>
    <t xml:space="preserve">checkpoint-2884</t>
  </si>
  <si>
    <t xml:space="preserve">checkpoint-3296</t>
  </si>
  <si>
    <t xml:space="preserve">checkpoint-3708</t>
  </si>
  <si>
    <t xml:space="preserve">checkpoint-4120</t>
  </si>
  <si>
    <t xml:space="preserve">checkpoint-4532</t>
  </si>
  <si>
    <t xml:space="preserve">checkpoint-4944</t>
  </si>
  <si>
    <t xml:space="preserve">checkpoint-5356</t>
  </si>
  <si>
    <t xml:space="preserve">checkpoint-5768</t>
  </si>
  <si>
    <t xml:space="preserve">checkpoint-6180</t>
  </si>
  <si>
    <t xml:space="preserve">checkpoint-6592</t>
  </si>
  <si>
    <t xml:space="preserve">checkpoint-7004</t>
  </si>
  <si>
    <t xml:space="preserve">checkpoint-7416</t>
  </si>
  <si>
    <t xml:space="preserve">checkpoint-7828</t>
  </si>
  <si>
    <t xml:space="preserve">checkpoint-8240</t>
  </si>
  <si>
    <t xml:space="preserve">checkpoint-8652</t>
  </si>
  <si>
    <t xml:space="preserve">checkpoint-9064</t>
  </si>
  <si>
    <t xml:space="preserve">checkpoint-9476</t>
  </si>
  <si>
    <t xml:space="preserve">checkpoint-9888</t>
  </si>
  <si>
    <t xml:space="preserve">checkpoint-10300</t>
  </si>
  <si>
    <t xml:space="preserve">checkpoint-10712</t>
  </si>
  <si>
    <t xml:space="preserve">checkpoint-11124</t>
  </si>
  <si>
    <t xml:space="preserve">checkpoint-11536</t>
  </si>
  <si>
    <t xml:space="preserve">checkpoint-11948</t>
  </si>
  <si>
    <t xml:space="preserve">checkpoint-12360</t>
  </si>
  <si>
    <t xml:space="preserve">checkpoint-12772</t>
  </si>
  <si>
    <t xml:space="preserve">checkpoint-13184</t>
  </si>
  <si>
    <t xml:space="preserve">checkpoint-13596</t>
  </si>
  <si>
    <t xml:space="preserve">checkpoint-14008</t>
  </si>
  <si>
    <t xml:space="preserve">checkpoint-14420</t>
  </si>
  <si>
    <t xml:space="preserve">checkpoint-14832</t>
  </si>
  <si>
    <t xml:space="preserve">checkpoint-15244</t>
  </si>
  <si>
    <t xml:space="preserve">checkpoint-15656</t>
  </si>
  <si>
    <t xml:space="preserve">checkpoint-16068</t>
  </si>
  <si>
    <t xml:space="preserve">checkpoint-16480</t>
  </si>
  <si>
    <t xml:space="preserve">checkpoint-16892</t>
  </si>
  <si>
    <t xml:space="preserve">checkpoint-17304</t>
  </si>
  <si>
    <t xml:space="preserve">checkpoint-17716</t>
  </si>
  <si>
    <t xml:space="preserve">checkpoint-18128</t>
  </si>
  <si>
    <t xml:space="preserve">checkpoint-18540</t>
  </si>
  <si>
    <t xml:space="preserve">checkpoint-18952</t>
  </si>
  <si>
    <t xml:space="preserve">checkpoint-19364</t>
  </si>
  <si>
    <t xml:space="preserve">checkpoint-19776</t>
  </si>
  <si>
    <t xml:space="preserve">checkpoint-20188</t>
  </si>
  <si>
    <t xml:space="preserve">Copia</t>
  </si>
  <si>
    <t xml:space="preserve">checkpoint-20600</t>
  </si>
  <si>
    <t xml:space="preserve">Crypton</t>
  </si>
  <si>
    <t xml:space="preserve">checkpoint-21012</t>
  </si>
  <si>
    <t xml:space="preserve">ERV</t>
  </si>
  <si>
    <t xml:space="preserve">checkpoint-21424</t>
  </si>
  <si>
    <t xml:space="preserve">Gypsy</t>
  </si>
  <si>
    <t xml:space="preserve">checkpoint-21836</t>
  </si>
  <si>
    <t xml:space="preserve">hAT</t>
  </si>
  <si>
    <t xml:space="preserve">checkpoint-22248</t>
  </si>
  <si>
    <t xml:space="preserve">Helitron</t>
  </si>
  <si>
    <t xml:space="preserve">checkpoint-22660</t>
  </si>
  <si>
    <t xml:space="preserve">Jockey</t>
  </si>
  <si>
    <t xml:space="preserve">checkpoint-23072</t>
  </si>
  <si>
    <t xml:space="preserve">L1_L2</t>
  </si>
  <si>
    <t xml:space="preserve">checkpoint-23484</t>
  </si>
  <si>
    <t xml:space="preserve">Maverick</t>
  </si>
  <si>
    <t xml:space="preserve">checkpoint-23896</t>
  </si>
  <si>
    <t xml:space="preserve">Merlin</t>
  </si>
  <si>
    <t xml:space="preserve">checkpoint-24308</t>
  </si>
  <si>
    <t xml:space="preserve">P</t>
  </si>
  <si>
    <t xml:space="preserve">checkpoint-24720</t>
  </si>
  <si>
    <t xml:space="preserve">Pao</t>
  </si>
  <si>
    <t xml:space="preserve">checkpoint-25132</t>
  </si>
  <si>
    <t xml:space="preserve">RTE</t>
  </si>
  <si>
    <t xml:space="preserve">checkpoint-25544</t>
  </si>
  <si>
    <t xml:space="preserve">SINE</t>
  </si>
  <si>
    <t xml:space="preserve">checkpoint-25956</t>
  </si>
  <si>
    <t xml:space="preserve">TcMar</t>
  </si>
  <si>
    <t xml:space="preserve">checkpoint-26368</t>
  </si>
  <si>
    <t xml:space="preserve">Transib</t>
  </si>
  <si>
    <t xml:space="preserve">checkpoint-26780</t>
  </si>
  <si>
    <t xml:space="preserve">checkpoint-27192</t>
  </si>
  <si>
    <t xml:space="preserve">accuracy</t>
  </si>
  <si>
    <t xml:space="preserve">checkpoint-27604</t>
  </si>
  <si>
    <t xml:space="preserve">macro_avg</t>
  </si>
  <si>
    <t xml:space="preserve">checkpoint-28016</t>
  </si>
  <si>
    <t xml:space="preserve">weighted_avg</t>
  </si>
  <si>
    <t xml:space="preserve">checkpoint-28428</t>
  </si>
  <si>
    <t xml:space="preserve">checkpoint-28840</t>
  </si>
  <si>
    <t xml:space="preserve">checkpoint-29252</t>
  </si>
  <si>
    <t xml:space="preserve">checkpoint-29664</t>
  </si>
  <si>
    <t xml:space="preserve">checkpoint-30076</t>
  </si>
  <si>
    <t xml:space="preserve">Original</t>
  </si>
  <si>
    <t xml:space="preserve">fix_to_compare</t>
  </si>
  <si>
    <t xml:space="preserve">order</t>
  </si>
  <si>
    <t xml:space="preserve">class</t>
  </si>
  <si>
    <t xml:space="preserve">max_score</t>
  </si>
  <si>
    <t xml:space="preserve">superfamily</t>
  </si>
  <si>
    <t xml:space="preserve">rnd-1_family-42#LTR/Gypsy</t>
  </si>
  <si>
    <t xml:space="preserve">LTR</t>
  </si>
  <si>
    <t xml:space="preserve">All classifiable TEs with score over 0.7</t>
  </si>
  <si>
    <t xml:space="preserve">Accurate classification</t>
  </si>
  <si>
    <t xml:space="preserve">Proportion of classified</t>
  </si>
  <si>
    <t xml:space="preserve">rnd-1_family-143#LTR/Gypsy</t>
  </si>
  <si>
    <t xml:space="preserve">TEs correctly classified</t>
  </si>
  <si>
    <t xml:space="preserve">for order</t>
  </si>
  <si>
    <t xml:space="preserve">rnd-1_family-228#LTR/Gypsy</t>
  </si>
  <si>
    <t xml:space="preserve">Proportion</t>
  </si>
  <si>
    <t xml:space="preserve">for superfamily</t>
  </si>
  <si>
    <t xml:space="preserve">rnd-1_family-361#LTR/Copia</t>
  </si>
  <si>
    <t xml:space="preserve">rnd-1_family-355#LTR/Copia</t>
  </si>
  <si>
    <t xml:space="preserve">All classifiable TEs with score over 0.8</t>
  </si>
  <si>
    <t xml:space="preserve">rnd-4_family-273#LTR/Copia</t>
  </si>
  <si>
    <t xml:space="preserve">rnd-1_family-74#LTR/Copia</t>
  </si>
  <si>
    <t xml:space="preserve">rnd-1_family-60#LTR/Gypsy</t>
  </si>
  <si>
    <t xml:space="preserve">rnd-1_family-330#LTR/Copia</t>
  </si>
  <si>
    <t xml:space="preserve">rnd-1_family-133#LTR/Gypsy</t>
  </si>
  <si>
    <t xml:space="preserve">rnd-5_family-193#LTR/Gypsy</t>
  </si>
  <si>
    <t xml:space="preserve">rnd-5_family-1789#LTR/Copia</t>
  </si>
  <si>
    <t xml:space="preserve">rnd-1_family-259#LTR/Copia</t>
  </si>
  <si>
    <t xml:space="preserve">rnd-1_family-327#LTR/Gypsy</t>
  </si>
  <si>
    <t xml:space="preserve">rnd-1_family-333#LTR/Gypsy</t>
  </si>
  <si>
    <t xml:space="preserve">rnd-1_family-229#LTR/Copia</t>
  </si>
  <si>
    <t xml:space="preserve">rnd-5_family-3045#LTR/Gypsy</t>
  </si>
  <si>
    <t xml:space="preserve">rnd-6_family-39#LTR/Gypsy</t>
  </si>
  <si>
    <t xml:space="preserve">rnd-6_family-1558#LTR/Gypsy</t>
  </si>
  <si>
    <t xml:space="preserve">rnd-6_family-7885#RC/Helitron</t>
  </si>
  <si>
    <t xml:space="preserve">RC</t>
  </si>
  <si>
    <t xml:space="preserve">rnd-3_family-259#LTR/Gypsy</t>
  </si>
  <si>
    <t xml:space="preserve">rnd-5_family-4785#LTR/Copia</t>
  </si>
  <si>
    <t xml:space="preserve">rnd-1_family-642#LTR/Copia</t>
  </si>
  <si>
    <t xml:space="preserve">rnd-6_family-4599#LTR/Copia</t>
  </si>
  <si>
    <t xml:space="preserve">rnd-1_family-196#LTR/Gypsy</t>
  </si>
  <si>
    <t xml:space="preserve">rnd-1_family-393#LTR/Copia</t>
  </si>
  <si>
    <t xml:space="preserve">rnd-1_family-13#LTR/Gypsy</t>
  </si>
  <si>
    <t xml:space="preserve">rnd-5_family-2117#LTR/Copia</t>
  </si>
  <si>
    <t xml:space="preserve">rnd-4_family-330#LTR/Gypsy</t>
  </si>
  <si>
    <t xml:space="preserve">LINE</t>
  </si>
  <si>
    <t xml:space="preserve">rnd-5_family-50#LTR/Gypsy</t>
  </si>
  <si>
    <t xml:space="preserve">rnd-1_family-230#LTR/Gypsy</t>
  </si>
  <si>
    <t xml:space="preserve">rnd-6_family-1652#LTR/Gypsy</t>
  </si>
  <si>
    <t xml:space="preserve">rnd-1_family-359#LTR/Gypsy</t>
  </si>
  <si>
    <t xml:space="preserve">rnd-1_family-416#LTR/Gypsy</t>
  </si>
  <si>
    <t xml:space="preserve">rnd-1_family-901#DNA/hAT-Tip100</t>
  </si>
  <si>
    <t xml:space="preserve">DNA</t>
  </si>
  <si>
    <t xml:space="preserve">hAT-Tip100</t>
  </si>
  <si>
    <t xml:space="preserve">rnd-1_family-1#DNA/CMC-EnSpm</t>
  </si>
  <si>
    <t xml:space="preserve">CMC-EnSpm</t>
  </si>
  <si>
    <t xml:space="preserve">CACTA</t>
  </si>
  <si>
    <t xml:space="preserve">rnd-1_family-175#LTR/Copia</t>
  </si>
  <si>
    <t xml:space="preserve">rnd-1_family-400#LTR/Copia</t>
  </si>
  <si>
    <t xml:space="preserve">rnd-1_family-800#LTR/Copia</t>
  </si>
  <si>
    <t xml:space="preserve">rnd-1_family-240#LTR/Gypsy</t>
  </si>
  <si>
    <t xml:space="preserve">rnd-6_family-3179#LINE/L1</t>
  </si>
  <si>
    <t xml:space="preserve">L1</t>
  </si>
  <si>
    <t xml:space="preserve">rnd-1_family-72#LTR/Gypsy</t>
  </si>
  <si>
    <t xml:space="preserve">rnd-5_family-56#LTR/Copia</t>
  </si>
  <si>
    <t xml:space="preserve">rnd-6_family-5059#LTR/Copia</t>
  </si>
  <si>
    <t xml:space="preserve">TIR</t>
  </si>
  <si>
    <t xml:space="preserve">rnd-6_family-3193#LTR/Gypsy</t>
  </si>
  <si>
    <t xml:space="preserve">rnd-3_family-263#DNA/CMC-EnSpm</t>
  </si>
  <si>
    <t xml:space="preserve">rnd-1_family-473#LTR/Copia</t>
  </si>
  <si>
    <t xml:space="preserve">rnd-1_family-5#LTR/Gypsy</t>
  </si>
  <si>
    <t xml:space="preserve">rnd-1_family-73#LTR/Gypsy</t>
  </si>
  <si>
    <t xml:space="preserve">rnd-6_family-718#LTR/Gypsy</t>
  </si>
  <si>
    <t xml:space="preserve">rnd-1_family-241#LTR/Gypsy</t>
  </si>
  <si>
    <t xml:space="preserve">rnd-1_family-11#LTR/Gypsy</t>
  </si>
  <si>
    <t xml:space="preserve">rnd-1_family-246#LTR/Gypsy</t>
  </si>
  <si>
    <t xml:space="preserve">rnd-4_family-1131#LTR/Gypsy</t>
  </si>
  <si>
    <t xml:space="preserve">rnd-6_family-2241#RC/Helitron</t>
  </si>
  <si>
    <t xml:space="preserve">rnd-1_family-563#LTR/Copia</t>
  </si>
  <si>
    <t xml:space="preserve">rnd-1_family-21#LTR/Gypsy</t>
  </si>
  <si>
    <t xml:space="preserve">rnd-4_family-291#LTR/Gypsy</t>
  </si>
  <si>
    <t xml:space="preserve">rnd-5_family-488#DNA/hAT-Tip100</t>
  </si>
  <si>
    <t xml:space="preserve">rnd-5_family-3176#RC/Helitron</t>
  </si>
  <si>
    <t xml:space="preserve">rnd-1_family-667#LINE/L1</t>
  </si>
  <si>
    <t xml:space="preserve">rnd-6_family-38#LTR/Gypsy</t>
  </si>
  <si>
    <t xml:space="preserve">rnd-5_family-5306#LTR/Gypsy</t>
  </si>
  <si>
    <t xml:space="preserve">rnd-6_family-13036#LTR/Copia</t>
  </si>
  <si>
    <t xml:space="preserve">rnd-4_family-445#LTR/Copia</t>
  </si>
  <si>
    <t xml:space="preserve">rnd-4_family-168#LINE/L1</t>
  </si>
  <si>
    <t xml:space="preserve">rnd-1_family-585#LTR/Copia</t>
  </si>
  <si>
    <t xml:space="preserve">rnd-1_family-122#RC/Helitron</t>
  </si>
  <si>
    <t xml:space="preserve">rnd-1_family-576#LTR/Copia</t>
  </si>
  <si>
    <t xml:space="preserve">rnd-6_family-2015#LTR/Copia</t>
  </si>
  <si>
    <t xml:space="preserve">rnd-6_family-5107#LTR/Gypsy</t>
  </si>
  <si>
    <t xml:space="preserve">rnd-6_family-10682#LINE/L1</t>
  </si>
  <si>
    <t xml:space="preserve">rnd-6_family-2240#RC/Helitron</t>
  </si>
  <si>
    <t xml:space="preserve">rnd-6_family-6056#DNA/CMC-EnSpm</t>
  </si>
  <si>
    <t xml:space="preserve">rnd-6_family-2555#LTR/Copia</t>
  </si>
  <si>
    <t xml:space="preserve">match</t>
  </si>
  <si>
    <t xml:space="preserve">rnd-1_family-62#LINE/I-Jockey</t>
  </si>
  <si>
    <t xml:space="preserve">I-Jockey</t>
  </si>
  <si>
    <t xml:space="preserve">rnd-1_family-28#LTR/Gypsy</t>
  </si>
  <si>
    <t xml:space="preserve">rnd-1_family-9#LINE/I-Jockey</t>
  </si>
  <si>
    <t xml:space="preserve">rnd-1_family-83#LTR/Copia</t>
  </si>
  <si>
    <t xml:space="preserve">rnd-1_family-65#LINE/I-Jockey</t>
  </si>
  <si>
    <t xml:space="preserve">rnd-1_family-124#LTR/Gypsy</t>
  </si>
  <si>
    <t xml:space="preserve">rnd-1_family-61#LINE/I-Jockey</t>
  </si>
  <si>
    <t xml:space="preserve">rnd-1_family-27#DNA/P</t>
  </si>
  <si>
    <t xml:space="preserve">rnd-1_family-34#LINE/I-Jockey</t>
  </si>
  <si>
    <t xml:space="preserve">rnd-1_family-56#LTR/Gypsy</t>
  </si>
  <si>
    <t xml:space="preserve">rnd-1_family-123#LINE/I-Jockey</t>
  </si>
  <si>
    <t xml:space="preserve">rnd-1_family-43#DNA/P</t>
  </si>
  <si>
    <t xml:space="preserve">rnd-1_family-166#LTR/Gypsy</t>
  </si>
  <si>
    <t xml:space="preserve">Unclassifiable due to being absent in the training models at 0.7 cut</t>
  </si>
  <si>
    <t xml:space="preserve">rnd-1_family-174#LTR/Copia</t>
  </si>
  <si>
    <t xml:space="preserve">Unclassifiable due to being absent in the training models at 0.8 cut</t>
  </si>
  <si>
    <t xml:space="preserve">rnd-1_family-25#LTR/Gypsy</t>
  </si>
  <si>
    <t xml:space="preserve">rnd-1_family-26#LTR/Gypsy</t>
  </si>
  <si>
    <t xml:space="preserve">rnd-1_family-64#LTR/Gypsy</t>
  </si>
  <si>
    <t xml:space="preserve">rnd-1_family-31#LINE/I-Jockey</t>
  </si>
  <si>
    <t xml:space="preserve">rnd-1_family-40#LTR/Gypsy</t>
  </si>
  <si>
    <t xml:space="preserve">rnd-1_family-115#LINE/I-Jockey</t>
  </si>
  <si>
    <t xml:space="preserve">rnd-1_family-46#LTR/Gypsy</t>
  </si>
  <si>
    <t xml:space="preserve">rnd-1_family-29#LTR/Gypsy</t>
  </si>
  <si>
    <t xml:space="preserve">rnd-1_family-13#DNA/P</t>
  </si>
  <si>
    <t xml:space="preserve">rnd-1_family-147#LINE/I-Jockey</t>
  </si>
  <si>
    <t xml:space="preserve">rnd-1_family-137#LINE/I-Jockey</t>
  </si>
  <si>
    <t xml:space="preserve">rnd-1_family-32#LINE/I-Jockey</t>
  </si>
  <si>
    <t xml:space="preserve">rnd-1_family-63#LINE/I-Jockey</t>
  </si>
  <si>
    <t xml:space="preserve">rnd-1_family-14#LTR/Gypsy</t>
  </si>
  <si>
    <t xml:space="preserve">rnd-1_family-109#LTR/Gypsy</t>
  </si>
  <si>
    <t xml:space="preserve">rnd-1_family-93#LTR/Gypsy</t>
  </si>
  <si>
    <t xml:space="preserve">rnd-1_family-164#LTR/Gypsy</t>
  </si>
  <si>
    <t xml:space="preserve">rnd-1_family-36#LTR/Gypsy</t>
  </si>
  <si>
    <t xml:space="preserve">rnd-1_family-72#LINE/I-Jockey</t>
  </si>
  <si>
    <t xml:space="preserve">rnd-1_family-160#LINE/I-Jockey</t>
  </si>
  <si>
    <t xml:space="preserve">rnd-1_family-86#LINE/I-Jockey</t>
  </si>
  <si>
    <t xml:space="preserve">rnd-1_family-57#LTR/Gypsy</t>
  </si>
  <si>
    <t xml:space="preserve">rnd-1_family-38#LTR/Gypsy</t>
  </si>
  <si>
    <t xml:space="preserve">rnd-1_family-117#LTR/Pao</t>
  </si>
  <si>
    <t xml:space="preserve">rnd-1_family-85#LINE/I-Jockey</t>
  </si>
  <si>
    <t xml:space="preserve">rnd-1_family-213#LTR/Copia</t>
  </si>
  <si>
    <t xml:space="preserve">rnd-1_family-218#LTR/Pao</t>
  </si>
  <si>
    <t xml:space="preserve">rnd-1_family-234#LINE/I-Jockey</t>
  </si>
  <si>
    <t xml:space="preserve">rnd-1_family-251#LTR/Gypsy</t>
  </si>
  <si>
    <t xml:space="preserve">rnd-1_family-303#LTR/Gypsy</t>
  </si>
  <si>
    <t xml:space="preserve">rnd-1_family-380#DNA/TcMar-Tc1</t>
  </si>
  <si>
    <t xml:space="preserve">TcMar-Tc1</t>
  </si>
  <si>
    <t xml:space="preserve">rnd-1_family-442#LTR/Gypsy</t>
  </si>
  <si>
    <t xml:space="preserve">rnd-1_family-512#LTR/Pao</t>
  </si>
  <si>
    <t xml:space="preserve">rnd-3_family-103#DNA/P</t>
  </si>
  <si>
    <t xml:space="preserve">rnd-3_family-54#LINE/I-Jockey</t>
  </si>
  <si>
    <t xml:space="preserve">rnd-4_family-188#LINE/I-Jockey</t>
  </si>
  <si>
    <t xml:space="preserve">rnd-4_family-148#DNA/P</t>
  </si>
  <si>
    <t xml:space="preserve">rnd-4_family-1351#LTR/Gypsy</t>
  </si>
  <si>
    <t xml:space="preserve">rnd-5_family-1538#DNA/CMC-Transib</t>
  </si>
  <si>
    <t xml:space="preserve">CMC-Transib</t>
  </si>
  <si>
    <t xml:space="preserve">rnd-5_family-2051#LINE/I</t>
  </si>
  <si>
    <t xml:space="preserve">I</t>
  </si>
  <si>
    <t xml:space="preserve">unclassifiable</t>
  </si>
  <si>
    <t xml:space="preserve">rnd-5_family-4509#DNA/TcMar-Tc1</t>
  </si>
  <si>
    <t xml:space="preserve">rnd-5_family-508#LINE/I-Jockey</t>
  </si>
  <si>
    <t xml:space="preserve">rnd-5_family-2033#LTR/Pao</t>
  </si>
  <si>
    <t xml:space="preserve">rnd-5_family-873#DNA/TcMar-Tc1</t>
  </si>
  <si>
    <t xml:space="preserve">rnd-5_family-1028#DNA/P</t>
  </si>
  <si>
    <t xml:space="preserve">rnd-5_family-3856#DNA/CMC-Transib</t>
  </si>
  <si>
    <t xml:space="preserve">rnd-5_family-1501#LTR/Gypsy</t>
  </si>
  <si>
    <t xml:space="preserve">rnd-5_family-647#LINE/I-Jockey</t>
  </si>
  <si>
    <t xml:space="preserve">rnd-6_family-230#DNA/P</t>
  </si>
  <si>
    <t xml:space="preserve">rnd-1_family-45#LTR/Gypsy</t>
  </si>
  <si>
    <t xml:space="preserve">rnd-1_family-76#LTR/Gypsy</t>
  </si>
  <si>
    <t xml:space="preserve">rnd-1_family-91#LTR/Gypsy</t>
  </si>
  <si>
    <t xml:space="preserve">rnd-1_family-35#LTR/Gypsy</t>
  </si>
  <si>
    <t xml:space="preserve">rnd-1_family-10#RC/Helitron</t>
  </si>
  <si>
    <t xml:space="preserve">rnd-1_family-131#LTR/Gypsy</t>
  </si>
  <si>
    <t xml:space="preserve">rnd-1_family-157#LTR/Gypsy</t>
  </si>
  <si>
    <t xml:space="preserve">rnd-1_family-105#DNA/TcMar-Tc1</t>
  </si>
  <si>
    <t xml:space="preserve">rnd-1_family-23#LTR/Gypsy</t>
  </si>
  <si>
    <t xml:space="preserve">rnd-1_family-19#LTR/Gypsy</t>
  </si>
  <si>
    <t xml:space="preserve">rnd-1_family-177#LTR/Gypsy</t>
  </si>
  <si>
    <t xml:space="preserve">rnd-1_family-33#LTR/Gypsy</t>
  </si>
  <si>
    <t xml:space="preserve">rnd-1_family-50#LTR/Gypsy</t>
  </si>
  <si>
    <t xml:space="preserve">rnd-1_family-195#LTR/Pao</t>
  </si>
  <si>
    <t xml:space="preserve">rnd-1_family-215#LTR/Pao</t>
  </si>
  <si>
    <t xml:space="preserve">rnd-1_family-225#LTR/Gypsy</t>
  </si>
  <si>
    <t xml:space="preserve">rnd-1_family-231#LTR/Pao</t>
  </si>
  <si>
    <t xml:space="preserve">rnd-1_family-210#LTR/Gypsy</t>
  </si>
  <si>
    <t xml:space="preserve">rnd-1_family-253#LTR/Gypsy</t>
  </si>
  <si>
    <t xml:space="preserve">rnd-1_family-293#LTR/Gypsy</t>
  </si>
  <si>
    <t xml:space="preserve">rnd-1_family-317#LINE/R1</t>
  </si>
  <si>
    <t xml:space="preserve">R1</t>
  </si>
  <si>
    <t xml:space="preserve">rnd-1_family-335#LTR/Gypsy</t>
  </si>
  <si>
    <t xml:space="preserve">rnd-1_family-343#LTR/Gypsy</t>
  </si>
  <si>
    <t xml:space="preserve">rnd-1_family-377#LTR/Gypsy</t>
  </si>
  <si>
    <t xml:space="preserve">rnd-1_family-384#LTR/Gypsy</t>
  </si>
  <si>
    <t xml:space="preserve">rnd-1_family-430#LINE/I</t>
  </si>
  <si>
    <t xml:space="preserve">rnd-1_family-437#DNA/TcMar-Tc1</t>
  </si>
  <si>
    <t xml:space="preserve">rnd-1_family-445#LTR/Gypsy</t>
  </si>
  <si>
    <t xml:space="preserve">rnd-1_family-483#LTR/Gypsy</t>
  </si>
  <si>
    <t xml:space="preserve">rnd-1_family-488#LINE/I</t>
  </si>
  <si>
    <t xml:space="preserve">rnd-1_family-486#LTR/Copia</t>
  </si>
  <si>
    <t xml:space="preserve">rnd-1_family-506#LINE/I-Jockey</t>
  </si>
  <si>
    <t xml:space="preserve">rnd-1_family-522#LTR/Pao</t>
  </si>
  <si>
    <t xml:space="preserve">rnd-1_family-535#LINE/I</t>
  </si>
  <si>
    <t xml:space="preserve">rnd-1_family-577#LTR/Copia</t>
  </si>
  <si>
    <t xml:space="preserve">rnd-1_family-603#LINE/I-Jockey</t>
  </si>
  <si>
    <t xml:space="preserve">rnd-4_family-379#LTR/Gypsy</t>
  </si>
  <si>
    <t xml:space="preserve">rnd-5_family-20#RC/Helitron</t>
  </si>
  <si>
    <t xml:space="preserve">rnd-5_family-314#LINE/I-Jockey</t>
  </si>
  <si>
    <t xml:space="preserve">rnd-5_family-2383#DNA/TcMar-Tc1</t>
  </si>
  <si>
    <t xml:space="preserve">rnd-5_family-2706#LTR/Gypsy</t>
  </si>
  <si>
    <t xml:space="preserve">rnd-6_family-61#RC/Helitron</t>
  </si>
  <si>
    <t xml:space="preserve">rnd-1_family-97#RC/Helitron</t>
  </si>
  <si>
    <t xml:space="preserve">rnd-1_family-74#LTR/Gypsy</t>
  </si>
  <si>
    <t xml:space="preserve">rnd-1_family-106#LTR/Gypsy</t>
  </si>
  <si>
    <t xml:space="preserve">rnd-1_family-178#LTR/Gypsy</t>
  </si>
  <si>
    <t xml:space="preserve">rnd-1_family-161#LINE/I-Jockey</t>
  </si>
  <si>
    <t xml:space="preserve">rnd-1_family-155#LINE/I-Jockey</t>
  </si>
  <si>
    <t xml:space="preserve">rnd-1_family-220#LINE/I-Jockey</t>
  </si>
  <si>
    <t xml:space="preserve">rnd-1_family-252#LTR/Gypsy</t>
  </si>
  <si>
    <t xml:space="preserve">rnd-1_family-284#LTR/Pao</t>
  </si>
  <si>
    <t xml:space="preserve">rnd-1_family-351#LTR/Gypsy</t>
  </si>
  <si>
    <t xml:space="preserve">rnd-1_family-391#LINE/I</t>
  </si>
  <si>
    <t xml:space="preserve">rnd-1_family-548#LTR/Pao</t>
  </si>
  <si>
    <t xml:space="preserve">rnd-1_family-588#DNA/CMC-Transib</t>
  </si>
  <si>
    <t xml:space="preserve">rnd-1_family-7#LTR/Gypsy</t>
  </si>
  <si>
    <t xml:space="preserve">rnd-1_family-59#LTR/Pao</t>
  </si>
  <si>
    <t xml:space="preserve">rnd-1_family-21#LTR/Pao</t>
  </si>
  <si>
    <t xml:space="preserve">rnd-1_family-179#LTR/Gypsy</t>
  </si>
  <si>
    <t xml:space="preserve">rnd-1_family-203#LTR/Gypsy</t>
  </si>
  <si>
    <t xml:space="preserve">rnd-1_family-316#LTR/Pao</t>
  </si>
  <si>
    <t xml:space="preserve">rnd-1_family-433#DNA/TcMar-Tc1</t>
  </si>
  <si>
    <t xml:space="preserve">rnd-5_family-1428#LTR/Gypsy</t>
  </si>
  <si>
    <t xml:space="preserve">rnd-5_family-2382#DNA/TcMar-Tc1</t>
  </si>
  <si>
    <t xml:space="preserve">rnd-1_family-100#LTR/Gypsy</t>
  </si>
  <si>
    <t xml:space="preserve">rnd-1_family-49#LTR/Gypsy</t>
  </si>
  <si>
    <t xml:space="preserve">rnd-1_family-90#LTR/Gypsy</t>
  </si>
  <si>
    <t xml:space="preserve">rnd-1_family-122#LTR/Gypsy</t>
  </si>
  <si>
    <t xml:space="preserve">rnd-1_family-198#LTR/Gypsy</t>
  </si>
  <si>
    <t xml:space="preserve">rnd-1_family-262#LTR/Gypsy</t>
  </si>
  <si>
    <t xml:space="preserve">rnd-1_family-309#DNA/hAT-hobo</t>
  </si>
  <si>
    <t xml:space="preserve">hAT-hobo</t>
  </si>
  <si>
    <t xml:space="preserve">rnd-1_family-484#LTR/Gypsy</t>
  </si>
  <si>
    <t xml:space="preserve">rnd-5_family-875#LTR/Pao</t>
  </si>
  <si>
    <t xml:space="preserve">rnd-5_family-7#LTR/Gypsy</t>
  </si>
  <si>
    <t xml:space="preserve">rnd-1_family-189#LTR/Gypsy</t>
  </si>
  <si>
    <t xml:space="preserve">rnd-1_family-238#LTR/Gypsy</t>
  </si>
  <si>
    <t xml:space="preserve">rnd-1_family-320#LTR/Pao</t>
  </si>
  <si>
    <t xml:space="preserve">rnd-1_family-338#LTR/Gypsy</t>
  </si>
  <si>
    <t xml:space="preserve">rnd-1_family-407#LINE/I-Jockey</t>
  </si>
  <si>
    <t xml:space="preserve">rnd-1_family-113#LINE/I-Jockey</t>
  </si>
  <si>
    <t xml:space="preserve">rnd-1_family-275#LINE/I-Jockey</t>
  </si>
  <si>
    <t xml:space="preserve">rnd-1_family-419#LINE/R1-LOA</t>
  </si>
  <si>
    <t xml:space="preserve">R1-LOA</t>
  </si>
  <si>
    <t xml:space="preserve">rnd-5_family-4658#LTR/Gypsy</t>
  </si>
  <si>
    <t xml:space="preserve">rnd-1_family-73#RC/Helitron</t>
  </si>
  <si>
    <t xml:space="preserve">rnd-1_family-146#LTR/Gypsy</t>
  </si>
  <si>
    <t xml:space="preserve">rnd-1_family-16#RC/Helitron</t>
  </si>
  <si>
    <t xml:space="preserve">rnd-1_family-308#LTR/Gypsy</t>
  </si>
  <si>
    <t xml:space="preserve">rnd-1_family-426#LTR/Copia</t>
  </si>
  <si>
    <t xml:space="preserve">rnd-1_family-558#DNA/CMC-Transib</t>
  </si>
  <si>
    <t xml:space="preserve">rnd-1_family-563#LTR/Gypsy</t>
  </si>
  <si>
    <t xml:space="preserve">rnd-1_family-18#DNA/TcMar-Tc1</t>
  </si>
  <si>
    <t xml:space="preserve">rnd-1_family-130#LTR/Gypsy</t>
  </si>
  <si>
    <t xml:space="preserve">rnd-1_family-286#LTR/Gypsy</t>
  </si>
  <si>
    <t xml:space="preserve">rnd-1_family-453#LINE/I</t>
  </si>
  <si>
    <t xml:space="preserve">rnd-5_family-1694#LTR/Gypsy</t>
  </si>
  <si>
    <t xml:space="preserve">rnd-5_family-492#LINE/I-Jockey</t>
  </si>
  <si>
    <t xml:space="preserve">rnd-5_family-598#LTR/Gypsy</t>
  </si>
  <si>
    <t xml:space="preserve">rnd-1_family-170#LTR/Gypsy</t>
  </si>
  <si>
    <t xml:space="preserve">rnd-1_family-168#LTR/Gypsy</t>
  </si>
  <si>
    <t xml:space="preserve">rnd-1_family-485#LTR/Gypsy</t>
  </si>
  <si>
    <t xml:space="preserve">rnd-1_family-359#LINE/R1</t>
  </si>
  <si>
    <t xml:space="preserve">rnd-1_family-364#LTR/Gypsy</t>
  </si>
  <si>
    <t xml:space="preserve">rnd-1_family-79#LTR/Gypsy</t>
  </si>
  <si>
    <t xml:space="preserve">rnd-1_family-428#LINE/I-Jockey</t>
  </si>
  <si>
    <t xml:space="preserve">rnd-1_family-199#LTR/Gypsy</t>
  </si>
  <si>
    <t xml:space="preserve">rnd-1_family-272#LTR/Gypsy</t>
  </si>
  <si>
    <t xml:space="preserve">rnd-1_family-392#LINE/I</t>
  </si>
  <si>
    <t xml:space="preserve">rnd-1_family-143#LINE/I-Jockey</t>
  </si>
  <si>
    <t xml:space="preserve">rnd-1_family-193#LTR/Gypsy</t>
  </si>
  <si>
    <t xml:space="preserve">rnd-1_family-569#DNA/CMC-Transib</t>
  </si>
  <si>
    <t xml:space="preserve">rnd-1_family-92#LTR/Gypsy</t>
  </si>
  <si>
    <t xml:space="preserve">rnd-1_family-67#LTR/Gypsy</t>
  </si>
  <si>
    <t xml:space="preserve">rnd-1_family-182#LTR/Gypsy</t>
  </si>
  <si>
    <t xml:space="preserve">rnd-1_family-376#LINE/R1-LOA</t>
  </si>
  <si>
    <t xml:space="preserve">rnd-1_family-370#DNA/TcMar-Tc1</t>
  </si>
  <si>
    <t xml:space="preserve">rnd-1_family-595#LINE/I-Jockey</t>
  </si>
  <si>
    <t xml:space="preserve">rnd-1_family-24#RC/Helitron</t>
  </si>
  <si>
    <t xml:space="preserve">rnd-1_family-185#LTR/Gypsy</t>
  </si>
  <si>
    <t xml:space="preserve">rnd-1_family-217#LTR/Gypsy</t>
  </si>
  <si>
    <t xml:space="preserve">rnd-1_family-104#LTR/Gypsy</t>
  </si>
  <si>
    <t xml:space="preserve">rnd-1_family-281#LTR/Gypsy</t>
  </si>
  <si>
    <t xml:space="preserve">rnd-1_family-439#DNA/TcMar-Tc1</t>
  </si>
  <si>
    <t xml:space="preserve">rnd-1_family-575#LTR/Pao</t>
  </si>
  <si>
    <t xml:space="preserve">rnd-5_family-377#LINE/I-Jockey</t>
  </si>
  <si>
    <t xml:space="preserve">rnd-1_family-99#LTR/Pao</t>
  </si>
  <si>
    <t xml:space="preserve">rnd-1_family-20#LTR/Pao</t>
  </si>
  <si>
    <t xml:space="preserve">rnd-1_family-502#DNA/P</t>
  </si>
  <si>
    <t xml:space="preserve">rnd-5_family-2248#LINE/I-Jockey</t>
  </si>
  <si>
    <t xml:space="preserve">rnd-1_family-201#LTR/Gypsy</t>
  </si>
  <si>
    <t xml:space="preserve">rnd-1_family-245#LINE/R1</t>
  </si>
  <si>
    <t xml:space="preserve">rnd-1_family-336#LTR/Gypsy</t>
  </si>
  <si>
    <t xml:space="preserve">rnd-1_family-487#LTR/Gypsy</t>
  </si>
  <si>
    <t xml:space="preserve">rnd-1_family-256#LTR/Gypsy</t>
  </si>
  <si>
    <t xml:space="preserve">rnd-1_family-432#LTR/Gypsy</t>
  </si>
  <si>
    <t xml:space="preserve">rnd-5_family-7067#LINE/I</t>
  </si>
  <si>
    <t xml:space="preserve">rnd-1_family-80#LINE/I-Jockey</t>
  </si>
  <si>
    <t xml:space="preserve">rnd-1_family-354#LTR/Gypsy</t>
  </si>
  <si>
    <t xml:space="preserve">rnd-1_family-270#LTR/Gypsy</t>
  </si>
  <si>
    <t xml:space="preserve">rnd-1_family-277#LTR/Gypsy</t>
  </si>
  <si>
    <t xml:space="preserve">rnd-5_family-4169#LINE/I</t>
  </si>
  <si>
    <t xml:space="preserve">rnd-1_family-70#RC/Helitron</t>
  </si>
  <si>
    <t xml:space="preserve">rnd-1_family-183#LINE/I-Jockey</t>
  </si>
  <si>
    <t xml:space="preserve">rnd-1_family-237#LTR/Gypsy</t>
  </si>
  <si>
    <t xml:space="preserve">rnd-1_family-417#DNA/TcMar-Tc1</t>
  </si>
  <si>
    <t xml:space="preserve">rnd-1_family-505#DNA/TcMar-Pogo</t>
  </si>
  <si>
    <t xml:space="preserve">TcMar-Pogo</t>
  </si>
  <si>
    <t xml:space="preserve">rnd-1_family-265#LTR/Gypsy</t>
  </si>
  <si>
    <t xml:space="preserve">rnd-1_family-342#LINE/I-Jockey</t>
  </si>
  <si>
    <t xml:space="preserve">rnd-1_family-448#LTR/Gypsy</t>
  </si>
  <si>
    <t xml:space="preserve">rnd-1_family-181#LTR/Gypsy</t>
  </si>
  <si>
    <t xml:space="preserve">rnd-1_family-169#LTR/Gypsy</t>
  </si>
  <si>
    <t xml:space="preserve">rnd-1_family-95#LTR/Gypsy</t>
  </si>
  <si>
    <t xml:space="preserve">rnd-1_family-529#LTR/Pao</t>
  </si>
  <si>
    <t xml:space="preserve">rnd-1_family-441#LINE/R1-LOA</t>
  </si>
  <si>
    <t xml:space="preserve">rnd-1_family-460#LTR/Gypsy</t>
  </si>
  <si>
    <t xml:space="preserve">rnd-1_family-546#LTR/Gypsy</t>
  </si>
  <si>
    <t xml:space="preserve">rnd-1_family-188#LTR/Gypsy</t>
  </si>
  <si>
    <t xml:space="preserve">rnd-5_family-1778#DNA/TcMar-Tc1</t>
  </si>
  <si>
    <t xml:space="preserve">rnd-5_family-2245#LINE/I-Jockey</t>
  </si>
  <si>
    <t xml:space="preserve">rnd-1_family-349#LTR/Gypsy</t>
  </si>
  <si>
    <t xml:space="preserve">rnd-4_family-541#DNA/CMC-Transib</t>
  </si>
  <si>
    <t xml:space="preserve">rnd-5_family-1785#LTR/Gypsy</t>
  </si>
  <si>
    <t xml:space="preserve">rnd-1_family-559#LTR/Copia</t>
  </si>
  <si>
    <t xml:space="preserve">rnd-1_family-17#RC/Helitron</t>
  </si>
  <si>
    <t xml:space="preserve">rnd-1_family-459#LTR/Gypsy</t>
  </si>
  <si>
    <t xml:space="preserve">rnd-1_family-464#RC/Helitron</t>
  </si>
  <si>
    <t xml:space="preserve">rnd-1_family-397#LTR/Pao</t>
  </si>
  <si>
    <t xml:space="preserve">rnd-1_family-540#LTR/Gypsy</t>
  </si>
  <si>
    <t xml:space="preserve">rnd-5_family-4508#LTR/Gypsy</t>
  </si>
  <si>
    <t xml:space="preserve">rnd-1_family-187#LTR/Gypsy</t>
  </si>
  <si>
    <t xml:space="preserve">rnd-1_family-223#LTR/Gypsy</t>
  </si>
  <si>
    <t xml:space="preserve">rnd-1_family-474#LINE/I-Jockey</t>
  </si>
  <si>
    <t xml:space="preserve">rnd-1_family-297#LTR/Gypsy</t>
  </si>
  <si>
    <t xml:space="preserve">rnd-1_family-258#LTR/Pao</t>
  </si>
  <si>
    <t xml:space="preserve">rnd-3_family-79#LTR/Gypsy</t>
  </si>
  <si>
    <t xml:space="preserve">rnd-1_family-599#LTR/Gypsy</t>
  </si>
  <si>
    <t xml:space="preserve">rnd-1_family-55#LINE/I-Jockey</t>
  </si>
  <si>
    <t xml:space="preserve">rnd-1_family-129#LINE/R1</t>
  </si>
  <si>
    <t xml:space="preserve">rnd-1_family-451#LTR/Pao</t>
  </si>
  <si>
    <t xml:space="preserve">rnd-1_family-461#LTR/Gypsy</t>
  </si>
  <si>
    <t xml:space="preserve">rnd-1_family-159#LTR/Pao</t>
  </si>
  <si>
    <t xml:space="preserve">rnd-1_family-337#LTR/Gypsy</t>
  </si>
  <si>
    <t xml:space="preserve">rnd-1_family-366#LTR/Gypsy</t>
  </si>
  <si>
    <t xml:space="preserve">rnd-1_family-456#DNA/TcMar-Tc1</t>
  </si>
  <si>
    <t xml:space="preserve">rnd-5_family-2976#LTR/Gypsy</t>
  </si>
  <si>
    <t xml:space="preserve">rnd-1_family-84#LTR/Pao</t>
  </si>
  <si>
    <t xml:space="preserve">rnd-1_family-30#LTR/Gypsy</t>
  </si>
  <si>
    <t xml:space="preserve">rnd-1_family-54#LINE/I-Jockey</t>
  </si>
  <si>
    <t xml:space="preserve">rnd-1_family-273#LINE/I-Jockey</t>
  </si>
  <si>
    <t xml:space="preserve">rnd-5_family-292#LTR/Pao</t>
  </si>
  <si>
    <t xml:space="preserve">rnd-1_family-278#LINE/R1</t>
  </si>
  <si>
    <t xml:space="preserve">rnd-1_family-318#LTR/Gypsy</t>
  </si>
  <si>
    <t xml:space="preserve">rnd-5_family-197#LTR/Gypsy</t>
  </si>
  <si>
    <t xml:space="preserve">rnd-1_family-114#LTR/Gypsy</t>
  </si>
  <si>
    <t xml:space="preserve">rnd-1_family-107#LTR/Gypsy</t>
  </si>
  <si>
    <t xml:space="preserve">rnd-1_family-374#LTR/Gypsy</t>
  </si>
  <si>
    <t xml:space="preserve">rnd-1_family-266#LINE/I-Jockey</t>
  </si>
  <si>
    <t xml:space="preserve">rnd-1_family-304#LINE/I-Jockey</t>
  </si>
  <si>
    <t xml:space="preserve">rnd-5_family-3393#LTR/Gypsy</t>
  </si>
  <si>
    <t xml:space="preserve">rnd-1_family-267#LTR/Gypsy</t>
  </si>
  <si>
    <t xml:space="preserve">rnd-1_family-494#LTR/Gypsy</t>
  </si>
  <si>
    <t xml:space="preserve">rnd-1_family-118#LTR/Gypsy</t>
  </si>
  <si>
    <t xml:space="preserve">rnd-1_family-116#LINE/I-Jockey</t>
  </si>
  <si>
    <t xml:space="preserve">rnd-1_family-75#LTR/Gypsy</t>
  </si>
  <si>
    <t xml:space="preserve">rnd-1_family-307#LTR/Gypsy</t>
  </si>
  <si>
    <t xml:space="preserve">rnd-5_family-218#LTR/Gypsy</t>
  </si>
  <si>
    <t xml:space="preserve">rnd-5_family-1121#LTR/Gypsy</t>
  </si>
  <si>
    <t xml:space="preserve">rnd-1_family-111#LTR/Gypsy</t>
  </si>
  <si>
    <t xml:space="preserve">rnd-1_family-82#LTR/Gypsy</t>
  </si>
  <si>
    <t xml:space="preserve">rnd-1_family-387#LINE/R1</t>
  </si>
  <si>
    <t xml:space="preserve">rnd-1_family-514#LINE/R1</t>
  </si>
  <si>
    <t xml:space="preserve">rnd-1_family-527#LINE/I-Jockey</t>
  </si>
  <si>
    <t xml:space="preserve">Class_I</t>
  </si>
  <si>
    <t xml:space="preserve">rnd-5_family-1113#LTR/Pao</t>
  </si>
  <si>
    <t xml:space="preserve">rnd-1_family-186#LTR/Gypsy</t>
  </si>
  <si>
    <t xml:space="preserve">rnd-1_family-102#LTR/Pao</t>
  </si>
  <si>
    <t xml:space="preserve">rnd-5_family-1594#LTR/Pao</t>
  </si>
  <si>
    <t xml:space="preserve">rnd-1_family-202#LTR/Gypsy</t>
  </si>
  <si>
    <t xml:space="preserve">rnd-1_family-300#LTR/Pao</t>
  </si>
  <si>
    <t xml:space="preserve">rnd-1_family-206#DNA/TcMar-Tc1</t>
  </si>
  <si>
    <t xml:space="preserve">rnd-5_family-2004#LTR/Gypsy</t>
  </si>
  <si>
    <t xml:space="preserve">rnd-1_family-503#LTR/Copia</t>
  </si>
  <si>
    <t xml:space="preserve">rnd-5_family-2241#LTR/Copia</t>
  </si>
  <si>
    <t xml:space="preserve">rnd-5_family-1021#LINE/I-Jockey</t>
  </si>
  <si>
    <t xml:space="preserve">rnd-1_family-298#LTR/Gypsy</t>
  </si>
  <si>
    <t xml:space="preserve">rnd-4_family-545#LINE/I-Jockey</t>
  </si>
  <si>
    <t xml:space="preserve">rnd-1_family-564#LTR/Copia</t>
  </si>
  <si>
    <t xml:space="preserve">rnd-1_family-219#LTR/Gypsy</t>
  </si>
  <si>
    <t xml:space="preserve">rnd-1_family-294#LTR/Gypsy</t>
  </si>
  <si>
    <t xml:space="preserve">rnd-1_family-128#LTR/Gypsy</t>
  </si>
  <si>
    <t xml:space="preserve">rnd-1_family-322#LTR/Pao</t>
  </si>
  <si>
    <t xml:space="preserve">rnd-1_family-605#LTR/Gypsy</t>
  </si>
  <si>
    <t xml:space="preserve">rnd-1_family-497#LTR/Gypsy</t>
  </si>
  <si>
    <t xml:space="preserve">rnd-1_family-352#LINE/I-Jockey</t>
  </si>
  <si>
    <t xml:space="preserve">rnd-1_family-520#LINE/R1-LOA</t>
  </si>
  <si>
    <t xml:space="preserve">rnd-1_family-418#LTR/Gypsy</t>
  </si>
  <si>
    <t xml:space="preserve">rnd-1_family-480#LTR/Gypsy</t>
  </si>
  <si>
    <t xml:space="preserve">rnd-1_family-247#LTR/Gypsy</t>
  </si>
  <si>
    <t xml:space="preserve">rnd-1_family-334#LTR/Pao</t>
  </si>
  <si>
    <t xml:space="preserve">rnd-1_family-481#LINE/I</t>
  </si>
  <si>
    <t xml:space="preserve">rnd-1_family-552#LTR/Gypsy</t>
  </si>
  <si>
    <t xml:space="preserve">rnd-6_family-164#LTR/Gypsy</t>
  </si>
  <si>
    <t xml:space="preserve">rnd-5_family-408#LINE/I-Jockey</t>
  </si>
  <si>
    <t xml:space="preserve">rnd-1_family-585#LTR/Pao</t>
  </si>
  <si>
    <t xml:space="preserve">rnd-1_family-479#LTR/Pao</t>
  </si>
  <si>
    <t xml:space="preserve">rnd-1_family-127#LTR/Gypsy</t>
  </si>
  <si>
    <t xml:space="preserve">rnd-1_family-172#LTR/Gypsy</t>
  </si>
  <si>
    <t xml:space="preserve">rnd-1_family-230#LINE/R1</t>
  </si>
  <si>
    <t xml:space="preserve">rnd-1_family-578#LINE/I-Jockey</t>
  </si>
  <si>
    <t xml:space="preserve">rnd-1_family-271#LTR/Gypsy</t>
  </si>
  <si>
    <t xml:space="preserve">rnd-1_family-378#LTR/Gypsy</t>
  </si>
  <si>
    <t xml:space="preserve">rnd-5_family-376#LINE/I-Jockey</t>
  </si>
  <si>
    <t xml:space="preserve">rnd-1_family-468#LTR/Gypsy</t>
  </si>
  <si>
    <t xml:space="preserve">rnd-1_family-175#LTR/Gypsy</t>
  </si>
  <si>
    <t xml:space="preserve">rnd-1_family-444#LTR/Gypsy</t>
  </si>
  <si>
    <t xml:space="preserve">rnd-1_family-2#DNA/P</t>
  </si>
  <si>
    <t xml:space="preserve">rnd-5_family-3059#LTR/Gypsy</t>
  </si>
  <si>
    <t xml:space="preserve">rnd-1_family-158#LINE/I-Jockey</t>
  </si>
  <si>
    <t xml:space="preserve">rnd-1_family-302#LTR/Copia</t>
  </si>
  <si>
    <t xml:space="preserve">rnd-1_family-413#LTR/Gypsy</t>
  </si>
  <si>
    <t xml:space="preserve">rnd-1_family-525#LTR/Gypsy</t>
  </si>
  <si>
    <t xml:space="preserve">rnd-4_family-410#Unknown</t>
  </si>
  <si>
    <t xml:space="preserve">Unknown</t>
  </si>
  <si>
    <t xml:space="preserve">rnd-1_family-295#LTR/Pao</t>
  </si>
  <si>
    <t xml:space="preserve">rnd-1_family-423#LTR/Gypsy</t>
  </si>
  <si>
    <t xml:space="preserve">rnd-1_family-289#LTR/Copia</t>
  </si>
  <si>
    <t xml:space="preserve">rnd-1_family-285#LTR/Gypsy</t>
  </si>
  <si>
    <t xml:space="preserve">rnd-1_family-398#LINE/R1</t>
  </si>
  <si>
    <t xml:space="preserve">rnd-1_family-476#LTR/Gypsy</t>
  </si>
  <si>
    <t xml:space="preserve">rnd-1_family-547#LINE/I-Jockey</t>
  </si>
  <si>
    <t xml:space="preserve">rnd-1_family-221#LINE/R1</t>
  </si>
  <si>
    <t xml:space="preserve">rnd-1_family-496#LINE/I-Jockey</t>
  </si>
  <si>
    <t xml:space="preserve">rnd-5_family-1689#LTR/Gypsy</t>
  </si>
  <si>
    <t xml:space="preserve">rnd-1_family-475#LINE/R1-LOA</t>
  </si>
  <si>
    <t xml:space="preserve">rnd-1_family-340#LTR/Gypsy</t>
  </si>
  <si>
    <t xml:space="preserve">rnd-1_family-205#LTR/Gypsy</t>
  </si>
  <si>
    <t xml:space="preserve">rnd-1_family-463#LTR/Gypsy</t>
  </si>
  <si>
    <t xml:space="preserve">rnd-1_family-268#LTR/Gypsy</t>
  </si>
  <si>
    <t xml:space="preserve">rnd-1_family-353#LTR/Gypsy</t>
  </si>
  <si>
    <t xml:space="preserve">rnd-1_family-396#LTR/Gypsy</t>
  </si>
  <si>
    <t xml:space="preserve">rnd-1_family-81#RC/Helitron</t>
  </si>
  <si>
    <t xml:space="preserve">rnd-1_family-530#LTR/Gypsy</t>
  </si>
  <si>
    <t xml:space="preserve">rnd-1_family-53#LTR/Gypsy</t>
  </si>
  <si>
    <t xml:space="preserve">rnd-1_family-534#LTR/Gypsy</t>
  </si>
  <si>
    <t xml:space="preserve">rnd-1_family-292#LTR/Pao</t>
  </si>
  <si>
    <t xml:space="preserve">rnd-1_family-357#LTR/Gypsy</t>
  </si>
  <si>
    <t xml:space="preserve">rnd-1_family-110#LTR/Gypsy</t>
  </si>
  <si>
    <t xml:space="preserve">rnd-5_family-9#LTR/Gypsy</t>
  </si>
  <si>
    <t xml:space="preserve">rnd-1_family-521#LTR/Pao</t>
  </si>
  <si>
    <t xml:space="preserve">rnd-1_family-411#LINE/R1</t>
  </si>
  <si>
    <t xml:space="preserve">rnd-1_family-328#LTR/Pao</t>
  </si>
  <si>
    <t xml:space="preserve">rnd-1_family-369#LTR/Gypsy</t>
  </si>
  <si>
    <t xml:space="preserve">rnd-5_family-70#LTR/Gypsy</t>
  </si>
  <si>
    <t xml:space="preserve">rnd-1_family-524#LTR/Gypsy</t>
  </si>
  <si>
    <t xml:space="preserve">rnd-6_family-299#Unknown</t>
  </si>
  <si>
    <t xml:space="preserve">rnd-1_family-363#LINE/R1</t>
  </si>
  <si>
    <t xml:space="preserve">rnd-1_family-8#DNA/CMC-Transib</t>
  </si>
  <si>
    <t xml:space="preserve">rnd-1_family-192#LINE/I-Jockey</t>
  </si>
  <si>
    <t xml:space="preserve">rnd-1_family-167#RC/Helitron</t>
  </si>
  <si>
    <t xml:space="preserve">rnd-1_family-244#LTR/Gypsy</t>
  </si>
  <si>
    <t xml:space="preserve">rnd-1_family-586#LTR/Gypsy</t>
  </si>
  <si>
    <t xml:space="preserve">rnd-1_family-233#LTR/Gypsy</t>
  </si>
  <si>
    <t xml:space="preserve">rnd-1_family-367#LTR/Gypsy</t>
  </si>
  <si>
    <t xml:space="preserve">rnd-1_family-305#LTR/Gypsy</t>
  </si>
  <si>
    <t xml:space="preserve">rnd-1_family-511#LTR/Gypsy</t>
  </si>
  <si>
    <t xml:space="preserve">rnd-5_family-1427#LTR/Gypsy</t>
  </si>
  <si>
    <t xml:space="preserve">rnd-1_family-119#LTR/Gypsy</t>
  </si>
  <si>
    <t xml:space="preserve">rnd-1_family-434#LINE/I</t>
  </si>
  <si>
    <t xml:space="preserve">rnd-1_family-550#LTR/Gypsy</t>
  </si>
  <si>
    <t xml:space="preserve">rnd-1_family-71#DNA/P</t>
  </si>
  <si>
    <t xml:space="preserve">rnd-1_family-77#LTR/Gypsy</t>
  </si>
  <si>
    <t xml:space="preserve">rnd-5_family-2146#LTR/Gypsy</t>
  </si>
  <si>
    <t xml:space="preserve">rnd-1_family-15#LTR/Gypsy</t>
  </si>
  <si>
    <t xml:space="preserve">rnd-1_family-532#LTR/Gypsy</t>
  </si>
  <si>
    <t xml:space="preserve">rnd-5_family-287#LTR/Pao</t>
  </si>
  <si>
    <t xml:space="preserve">rnd-1_family-39#RC/Helitron</t>
  </si>
  <si>
    <t xml:space="preserve">rnd-1_family-326#LTR/Gypsy</t>
  </si>
  <si>
    <t xml:space="preserve">rnd-5_family-293#LTR/Pao</t>
  </si>
  <si>
    <t xml:space="preserve">rnd-1_family-108#LINE/CR1</t>
  </si>
  <si>
    <t xml:space="preserve">CR1</t>
  </si>
  <si>
    <t xml:space="preserve">rnd-1_family-533#LTR/Gypsy</t>
  </si>
  <si>
    <t xml:space="preserve">rnd-1_family-153#LTR/Gypsy</t>
  </si>
  <si>
    <t xml:space="preserve">rnd-1_family-345#LINE/I-Jockey</t>
  </si>
  <si>
    <t xml:space="preserve">rnd-1_family-400#LINE/I-Jockey</t>
  </si>
  <si>
    <t xml:space="preserve">rnd-1_family-597#LINE/I-Jockey</t>
  </si>
  <si>
    <t xml:space="preserve">rnd-5_family-1364#LINE/I-Jockey</t>
  </si>
  <si>
    <t xml:space="preserve">rnd-5_family-71#LTR/Copia</t>
  </si>
  <si>
    <t xml:space="preserve">rnd-1_family-537#LTR/Gypsy</t>
  </si>
  <si>
    <t xml:space="preserve">rnd-1_family-544#LTR/Gypsy</t>
  </si>
  <si>
    <t xml:space="preserve">rnd-1_family-227#LTR/Pao</t>
  </si>
  <si>
    <t xml:space="preserve">rnd-1_family-339#LTR/Gypsy</t>
  </si>
  <si>
    <t xml:space="preserve">rnd-1_family-288#LTR/Gypsy</t>
  </si>
  <si>
    <t xml:space="preserve">rnd-1_family-246#LINE/I</t>
  </si>
  <si>
    <t xml:space="preserve">rnd-1_family-452#LTR/Gypsy</t>
  </si>
  <si>
    <t xml:space="preserve">rnd-5_family-1319#LTR/Gypsy</t>
  </si>
  <si>
    <t xml:space="preserve">rnd-1_family-455#LTR/Pao</t>
  </si>
  <si>
    <t xml:space="preserve">rnd-5_family-599#LTR/Gypsy</t>
  </si>
  <si>
    <t xml:space="preserve">rnd-1_family-290#LTR/Gypsy</t>
  </si>
  <si>
    <t xml:space="preserve">rnd-1_family-229#LTR/Gypsy</t>
  </si>
  <si>
    <t xml:space="preserve">rnd-1_family-48#LINE/R1</t>
  </si>
  <si>
    <t xml:space="preserve">rnd-1_family-283#LTR/Gypsy</t>
  </si>
  <si>
    <t xml:space="preserve">rnd-1_family-381#LTR/Gypsy</t>
  </si>
  <si>
    <t xml:space="preserve">rnd-1_family-517#LTR/Gypsy</t>
  </si>
  <si>
    <t xml:space="preserve">rnd-5_family-488#DNA/CMC-Transib</t>
  </si>
  <si>
    <t xml:space="preserve">rnd-5_family-5#LTR/Gypsy</t>
  </si>
  <si>
    <t xml:space="preserve">rnd-1_family-405#LINE/R2</t>
  </si>
  <si>
    <t xml:space="preserve">R2</t>
  </si>
  <si>
    <t xml:space="preserve">rnd-3_family-78#RC/Helitron</t>
  </si>
  <si>
    <t xml:space="preserve">rnd-1_family-263#LTR/Gypsy</t>
  </si>
  <si>
    <t xml:space="preserve">rnd-1_family-66#LINE/I-Jockey</t>
  </si>
  <si>
    <t xml:space="preserve">rnd-1_family-414#LTR/Gypsy</t>
  </si>
  <si>
    <t xml:space="preserve">rnd-5_family-2638#LINE/R1</t>
  </si>
  <si>
    <t xml:space="preserve">rnd-1_family-471#LTR/Gypsy</t>
  </si>
  <si>
    <t xml:space="preserve">rnd-5_family-360#LTR/Gypsy</t>
  </si>
  <si>
    <t xml:space="preserve">rnd-1_family-422#LTR/Gypsy</t>
  </si>
  <si>
    <t xml:space="preserve">rnd-1_family-482#LTR/Pao</t>
  </si>
  <si>
    <t xml:space="preserve">rnd-1_family-590#LTR/Pao</t>
  </si>
  <si>
    <t xml:space="preserve">rnd-5_family-1690#LTR/Gypsy</t>
  </si>
  <si>
    <t xml:space="preserve">rnd-1_family-538#LINE/I-Jockey</t>
  </si>
  <si>
    <t xml:space="preserve">rnd-1_family-580#DNA/TcMar-Tc1</t>
  </si>
  <si>
    <t xml:space="preserve">rnd-5_family-308#LTR/Pao</t>
  </si>
  <si>
    <t xml:space="preserve">rnd-1_family-440#LTR/Pao</t>
  </si>
  <si>
    <t xml:space="preserve">rnd-1_family-214#LTR/Gypsy</t>
  </si>
  <si>
    <t xml:space="preserve">Class_II-RC</t>
  </si>
  <si>
    <t xml:space="preserve">rnd-1_family-424#LTR/Gypsy</t>
  </si>
  <si>
    <t xml:space="preserve">Class_I-LINE</t>
  </si>
  <si>
    <t xml:space="preserve">rnd-1_family-438#DNA/P</t>
  </si>
  <si>
    <t xml:space="preserve">rnd-1_family-162#LTR/Gypsy</t>
  </si>
  <si>
    <t xml:space="preserve">Class_I-LTR</t>
  </si>
  <si>
    <t xml:space="preserve">rnd-1_family-379#LTR/Gypsy</t>
  </si>
  <si>
    <t xml:space="preserve">rnd-1_family-152#LINE/I-Jockey</t>
  </si>
  <si>
    <t xml:space="preserve">rnd-1_family-323#LTR/Gypsy</t>
  </si>
  <si>
    <t xml:space="preserve">rnd-1_family-355#LINE/CR1</t>
  </si>
  <si>
    <t xml:space="preserve">Class_II-DNA</t>
  </si>
  <si>
    <t xml:space="preserve">rnd-1_family-315#LTR/Gypsy</t>
  </si>
  <si>
    <t xml:space="preserve">rnd-5_family-1801#LTR/Pao</t>
  </si>
  <si>
    <t xml:space="preserve">rnd-1_family-135#DNA/P</t>
  </si>
  <si>
    <t xml:space="preserve">rnd-4_family-1015#DNA/TcMar-Tc1</t>
  </si>
  <si>
    <t xml:space="preserve">rnd-5_family-4673#DNA/TcMar-Pogo</t>
  </si>
  <si>
    <t xml:space="preserve">rnd-1_family-287#LINE/R1-LOA</t>
  </si>
  <si>
    <t xml:space="preserve">rnd-1_family-436#LINE/I-Jockey</t>
  </si>
  <si>
    <t xml:space="preserve">rnd-1_family-362#DNA/TcMar-Tc1</t>
  </si>
  <si>
    <t xml:space="preserve">rnd-1_family-581#LINE/I-Jockey</t>
  </si>
  <si>
    <t xml:space="preserve">rnd-5_family-832#LTR/Pao</t>
  </si>
  <si>
    <t xml:space="preserve">rnd-1_family-207#LTR/Gypsy</t>
  </si>
  <si>
    <t xml:space="preserve">rnd-1_family-264#LTR/Gypsy</t>
  </si>
  <si>
    <t xml:space="preserve">rnd-1_family-562#LTR/Gypsy</t>
  </si>
  <si>
    <t xml:space="preserve">rnd-1_family-282#LTR/Gypsy</t>
  </si>
  <si>
    <t xml:space="preserve">rnd-1_family-454#LTR/Pao</t>
  </si>
  <si>
    <t xml:space="preserve">rnd-1_family-528#LTR/Gypsy</t>
  </si>
  <si>
    <t xml:space="preserve">rnd-1_family-491#LTR/Gypsy</t>
  </si>
  <si>
    <t xml:space="preserve">rnd-1_family-41#LTR/Gypsy</t>
  </si>
  <si>
    <t xml:space="preserve">rnd-1_family-572#LINE/I-Jockey</t>
  </si>
  <si>
    <t xml:space="preserve">rnd-1_family-470#LTR/Gypsy</t>
  </si>
  <si>
    <t xml:space="preserve">rnd-1_family-96#LINE/I-Jockey</t>
  </si>
  <si>
    <t xml:space="preserve">rnd-1_family-239#LTR/Gypsy</t>
  </si>
  <si>
    <t xml:space="preserve">rnd-1_family-132#LINE/R1</t>
  </si>
  <si>
    <t xml:space="preserve">rnd-1_family-261#LINE/R1</t>
  </si>
  <si>
    <t xml:space="preserve">rnd-1_family-469#LTR/Gypsy</t>
  </si>
  <si>
    <t xml:space="preserve">rnd-1_family-145#LTR/Gypsy</t>
  </si>
  <si>
    <t xml:space="preserve">rnd-1_family-120#LTR/Gypsy</t>
  </si>
  <si>
    <t xml:space="preserve">rnd-1_family-279#LINE/I-Jockey</t>
  </si>
  <si>
    <t xml:space="preserve">rnd-1_family-0#LINE/R1-LOA</t>
  </si>
  <si>
    <t xml:space="preserve">rnd-5_family-1411#LTR/Copia</t>
  </si>
  <si>
    <t xml:space="preserve">rnd-1_family-248#LTR/Gypsy</t>
  </si>
  <si>
    <t xml:space="preserve">rnd-5_family-1601#LTR/Pao</t>
  </si>
  <si>
    <t xml:space="preserve">rnd-1_family-443#LTR/Gypsy</t>
  </si>
  <si>
    <t xml:space="preserve">rnd-1_family-1#LINE/R1-LOA</t>
  </si>
  <si>
    <t xml:space="preserve">rnd-1_family-190#LINE/R1</t>
  </si>
  <si>
    <t xml:space="preserve">rnd-5_family-620#LTR/Gypsy</t>
  </si>
  <si>
    <t xml:space="preserve">rnd-1_family-142#LTR/Gypsy</t>
  </si>
  <si>
    <t xml:space="preserve">rnd-1_family-224#LTR/Gypsy</t>
  </si>
  <si>
    <t xml:space="preserve">rnd-1_family-260#LTR/Pao</t>
  </si>
  <si>
    <t xml:space="preserve">rnd-1_family-410#LTR/Gypsy</t>
  </si>
  <si>
    <t xml:space="preserve">rnd-1_family-216#LTR/Gypsy</t>
  </si>
  <si>
    <t xml:space="preserve">rnd-1_family-584#LTR/Gypsy</t>
  </si>
  <si>
    <t xml:space="preserve">rnd-1_family-568#LTR/Gypsy</t>
  </si>
  <si>
    <t xml:space="preserve">rnd-5_family-221#Unknown</t>
  </si>
  <si>
    <t xml:space="preserve">rnd-1_family-399#LTR/Gypsy</t>
  </si>
  <si>
    <t xml:space="preserve">rnd-1_family-489#LTR/Gypsy</t>
  </si>
  <si>
    <t xml:space="preserve">rnd-1_family-276#LTR/Gypsy</t>
  </si>
  <si>
    <t xml:space="preserve">rnd-1_family-103#LINE/I-Jockey</t>
  </si>
  <si>
    <t xml:space="preserve">rnd-1_family-472#LTR/Pao</t>
  </si>
  <si>
    <t xml:space="preserve">rnd-5_family-313#LINE/I-Jockey</t>
  </si>
  <si>
    <t xml:space="preserve">rnd-1_family-500#LINE/R1</t>
  </si>
  <si>
    <t xml:space="preserve">rnd-1_family-200#LTR/Gypsy</t>
  </si>
  <si>
    <t xml:space="preserve">rnd-1_family-385#LINE/R1</t>
  </si>
  <si>
    <t xml:space="preserve">rnd-1_family-545#LINE/R1-LOA</t>
  </si>
  <si>
    <t xml:space="preserve">rnd-1_family-561#LTR/Gypsy</t>
  </si>
  <si>
    <t xml:space="preserve">rnd-1_family-510#DNA/TcMar-Tc1</t>
  </si>
  <si>
    <t xml:space="preserve">rnd-1_family-134#LINE/CR1</t>
  </si>
  <si>
    <t xml:space="preserve">rnd-1_family-389#LTR/Gypsy</t>
  </si>
  <si>
    <t xml:space="preserve">rnd-1_family-121#LINE/I-Jockey</t>
  </si>
  <si>
    <t xml:space="preserve">rnd-1_family-212#LTR/Gypsy</t>
  </si>
  <si>
    <t xml:space="preserve">rnd-1_family-395#LTR/Gypsy</t>
  </si>
  <si>
    <t xml:space="preserve">rnd-1_family-450#LTR/Gypsy</t>
  </si>
  <si>
    <t xml:space="preserve">rnd-1_family-518#LTR/Gypsy</t>
  </si>
  <si>
    <t xml:space="preserve">rnd-1_family-415#LTR/Gypsy</t>
  </si>
  <si>
    <t xml:space="preserve">rnd-1_family-125#LINE/I-Jockey</t>
  </si>
  <si>
    <t xml:space="preserve">rnd-1_family-197#LTR/Gypsy</t>
  </si>
  <si>
    <t xml:space="preserve">rnd-1_family-573#LTR/Gypsy</t>
  </si>
  <si>
    <t xml:space="preserve">rnd-1_family-373#LTR/Gypsy</t>
  </si>
  <si>
    <t xml:space="preserve">rnd-1_family-596#LINE/I-Jockey</t>
  </si>
  <si>
    <t xml:space="preserve">rnd-1_family-591#LTR/Pao</t>
  </si>
  <si>
    <t xml:space="preserve">rnd-5_family-67#LTR/Copia</t>
  </si>
  <si>
    <t xml:space="preserve">rnd-1_family-321#LINE/R1</t>
  </si>
  <si>
    <t xml:space="preserve">rnd-4_family-776#LINE/CR1</t>
  </si>
  <si>
    <t xml:space="preserve">rnd-1_family-531#LTR/Pao</t>
  </si>
  <si>
    <t xml:space="preserve">rnd-1_family-243#LINE/CR1</t>
  </si>
  <si>
    <t xml:space="preserve">rnd-1_family-409#LINE/R1-LOA</t>
  </si>
  <si>
    <t xml:space="preserve">rnd-1_family-22#LTR/Gypsy</t>
  </si>
  <si>
    <t xml:space="preserve">rnd-1_family-467#LTR/Gypsy</t>
  </si>
  <si>
    <t xml:space="preserve">rnd-1_family-541#LTR/Gypsy</t>
  </si>
  <si>
    <t xml:space="preserve">rnd-1_family-390#LTR/Gypsy</t>
  </si>
  <si>
    <t xml:space="preserve">rnd-3_family-97#LINE/CR1</t>
  </si>
  <si>
    <t xml:space="preserve">rnd-1_family-58#RC/Helitron</t>
  </si>
  <si>
    <t xml:space="preserve">rnd-1_family-306#LTR/Gypsy</t>
  </si>
  <si>
    <t xml:space="preserve">rnd-1_family-341#LTR/Pao</t>
  </si>
  <si>
    <t xml:space="preserve">rnd-1_family-408#LTR/Copia</t>
  </si>
  <si>
    <t xml:space="preserve">rnd-1_family-176#LTR/Gypsy</t>
  </si>
  <si>
    <t xml:space="preserve">rnd-1_family-350#LTR/Pao</t>
  </si>
  <si>
    <t xml:space="preserve">rnd-1_family-592#LTR/Gypsy</t>
  </si>
  <si>
    <t xml:space="preserve">rnd-1_family-587#LTR/Gypsy</t>
  </si>
  <si>
    <t xml:space="preserve">rnd-1_family-358#LTR/Gypsy</t>
  </si>
  <si>
    <t xml:space="preserve">rnd-1_family-68#LTR/Gypsy</t>
  </si>
  <si>
    <t xml:space="preserve">rnd-1_family-361#LTR/Gypsy</t>
  </si>
  <si>
    <t xml:space="preserve">rnd-1_family-365#LTR/Gypsy</t>
  </si>
  <si>
    <t xml:space="preserve">rnd-5_family-9068#DNA/CMC-Transib</t>
  </si>
  <si>
    <t xml:space="preserve">rnd-5_family-2358#LINE/I-Jockey</t>
  </si>
  <si>
    <t xml:space="preserve">rnd-5_family-1017#LTR/Gypsy</t>
  </si>
  <si>
    <t xml:space="preserve">rnd-1_family-138#LTR/Gypsy</t>
  </si>
  <si>
    <t xml:space="preserve">rnd-1_family-368#LINE/I-Jockey</t>
  </si>
  <si>
    <t xml:space="preserve">rnd-5_family-570#LTR/Gypsy</t>
  </si>
  <si>
    <t xml:space="preserve">rnd-1_family-149#LTR/Gypsy</t>
  </si>
  <si>
    <t xml:space="preserve">rnd-1_family-435#LINE/R1</t>
  </si>
  <si>
    <t xml:space="preserve">rnd-1_family-87#LINE/R1</t>
  </si>
  <si>
    <t xml:space="preserve">rnd-1_family-94#LINE/R1</t>
  </si>
  <si>
    <t xml:space="preserve">rnd-1_family-254#LTR/Gypsy</t>
  </si>
  <si>
    <t xml:space="preserve">rnd-1_family-406#LTR/Gypsy</t>
  </si>
  <si>
    <t xml:space="preserve">rnd-1_family-232#LINE/I-Jockey</t>
  </si>
  <si>
    <t xml:space="preserve">rnd-1_family-332#LINE/R1</t>
  </si>
  <si>
    <t xml:space="preserve">rnd-1_family-567#LTR/Gypsy</t>
  </si>
  <si>
    <t xml:space="preserve">rnd-5_family-2052#LTR/Gypsy</t>
  </si>
  <si>
    <t xml:space="preserve">rnd-1_family-386#LTR/Gypsy</t>
  </si>
  <si>
    <t xml:space="preserve">rnd-1_family-598#LTR/Pao</t>
  </si>
  <si>
    <t xml:space="preserve">rnd-1_family-523#DNA/P</t>
  </si>
  <si>
    <t xml:space="preserve">rnd-3_family-61#LTR/Pao</t>
  </si>
  <si>
    <t xml:space="preserve">rnd-1_family-509#LTR/Gypsy</t>
  </si>
  <si>
    <t xml:space="preserve">rnd-1_family-331#LTR/Gypsy</t>
  </si>
  <si>
    <t xml:space="preserve">rnd-1_family-171#LTR/Gypsy</t>
  </si>
  <si>
    <t xml:space="preserve">rnd-1_family-431#LTR/Gypsy</t>
  </si>
  <si>
    <t xml:space="preserve">rnd-1_family-165#LTR/Gypsy</t>
  </si>
  <si>
    <t xml:space="preserve">rnd-1_family-519#LINE/I-Jockey</t>
  </si>
  <si>
    <t xml:space="preserve">rnd-5_family-874#LTR/Pao</t>
  </si>
  <si>
    <t xml:space="preserve">rnd-1_family-112#LINE/R1-LOA</t>
  </si>
  <si>
    <t xml:space="preserve">rnd-1_family-330#LTR/Gypsy</t>
  </si>
  <si>
    <t xml:space="preserve">rnd-1_family-141#LINE/CR1</t>
  </si>
  <si>
    <t xml:space="preserve">rnd-1_family-314#LTR/Pao</t>
  </si>
  <si>
    <t xml:space="preserve">rnd-1_family-375#LINE/R1-LOA</t>
  </si>
  <si>
    <t xml:space="preserve">rnd-1_family-325#LTR/Gypsy</t>
  </si>
  <si>
    <t xml:space="preserve">rnd-1_family-600#LTR/Gypsy</t>
  </si>
  <si>
    <t xml:space="preserve">rnd-1_family-570#LTR/Gypsy</t>
  </si>
  <si>
    <t xml:space="preserve">rnd-1_family-194#LTR/Gypsy</t>
  </si>
  <si>
    <t xml:space="preserve">rnd-5_family-1736#DNA/P</t>
  </si>
  <si>
    <t xml:space="preserve">rnd-1_family-412#LTR/Pao</t>
  </si>
  <si>
    <t xml:space="preserve">rnd-1_family-501#LTR/Gypsy</t>
  </si>
  <si>
    <t xml:space="preserve">rnd-1_family-348#LTR/Gypsy</t>
  </si>
  <si>
    <t xml:space="preserve">rnd-1_family-388#LTR/Gypsy</t>
  </si>
  <si>
    <t xml:space="preserve">rnd-1_family-280#LTR/Gypsy</t>
  </si>
  <si>
    <t xml:space="preserve">rnd-1_family-576#LTR/Gypsy</t>
  </si>
  <si>
    <t xml:space="preserve">rnd-1_family-211#LINE/I-Jockey</t>
  </si>
  <si>
    <t xml:space="preserve">rnd-1_family-311#LTR/Pao</t>
  </si>
  <si>
    <t xml:space="preserve">rnd-1_family-344#LTR/Gypsy</t>
  </si>
  <si>
    <t xml:space="preserve">rnd-1_family-346#LINE/R1</t>
  </si>
  <si>
    <t xml:space="preserve">rnd-1_family-310#LTR/Pao</t>
  </si>
  <si>
    <t xml:space="preserve">rnd-5_family-1832#DNA/P</t>
  </si>
  <si>
    <t xml:space="preserve">rnd-1_family-458#LTR/Pao</t>
  </si>
  <si>
    <t xml:space="preserve">rnd-1_family-98#LINE/CR1</t>
  </si>
  <si>
    <t xml:space="preserve">rnd-1_family-180#LTR/Gypsy</t>
  </si>
  <si>
    <t xml:space="preserve">rnd-1_family-196#LINE/I-Jockey</t>
  </si>
  <si>
    <t xml:space="preserve">rnd-1_family-492#LTR/Gypsy</t>
  </si>
  <si>
    <t xml:space="preserve">rnd-1_family-403#LTR/Copia</t>
  </si>
  <si>
    <t xml:space="preserve">rnd-1_family-184#LINE/I-Jockey</t>
  </si>
  <si>
    <t xml:space="preserve">rnd-1_family-291#LTR/Gypsy</t>
  </si>
  <si>
    <t xml:space="preserve">rnd-1_family-477#LTR/Gypsy</t>
  </si>
  <si>
    <t xml:space="preserve">rnd-1_family-508#LTR/Gypsy</t>
  </si>
  <si>
    <t xml:space="preserve">rnd-1_family-571#LTR/Gypsy</t>
  </si>
  <si>
    <t xml:space="preserve">rnd-1_family-507#LTR/Gypsy</t>
  </si>
  <si>
    <t xml:space="preserve">rnd-1_family-89#LINE/R1-LOA</t>
  </si>
  <si>
    <t xml:space="preserve">rnd-1_family-446#LTR/Gypsy</t>
  </si>
  <si>
    <t xml:space="preserve">rnd-1_family-136#LTR/Gypsy</t>
  </si>
  <si>
    <t xml:space="preserve">rnd-5_family-1738#LTR/Copia</t>
  </si>
  <si>
    <t xml:space="preserve">rnd-1_family-191#LTR/Gypsy</t>
  </si>
  <si>
    <t xml:space="preserve">rnd-1_family-549#LTR/Gypsy</t>
  </si>
  <si>
    <t xml:space="preserve">rnd-1_family-139#LINE/CR1</t>
  </si>
  <si>
    <t xml:space="preserve">rnd-1_family-329#LTR/Gypsy</t>
  </si>
  <si>
    <t xml:space="preserve">rnd-1_family-51#LTR/Gypsy</t>
  </si>
  <si>
    <t xml:space="preserve">rnd-1_family-154#LTR/Gypsy</t>
  </si>
  <si>
    <t xml:space="preserve">rnd-1_family-173#LINE/CR1</t>
  </si>
  <si>
    <t xml:space="preserve">rnd-1_family-148#LTR/Gypsy</t>
  </si>
  <si>
    <t xml:space="preserve">rnd-1_family-163#LINE/I-Jockey</t>
  </si>
  <si>
    <t xml:space="preserve">rnd-1_family-257#LTR/Gypsy</t>
  </si>
  <si>
    <t xml:space="preserve">rnd-1_family-78#LINE/I-Jockey</t>
  </si>
  <si>
    <t xml:space="preserve">rnd-1_family-259#LTR/Gypsy</t>
  </si>
  <si>
    <t xml:space="preserve">rnd-1_family-579#LTR/Gypsy</t>
  </si>
  <si>
    <t xml:space="preserve">rnd-1_family-312#LTR/Pao</t>
  </si>
  <si>
    <t xml:space="preserve">rnd-1_family-457#LTR/Gypsy</t>
  </si>
  <si>
    <t xml:space="preserve">rnd-5_family-66#LTR/Gypsy</t>
  </si>
  <si>
    <t xml:space="preserve">rnd-1_family-427#LTR/Pao</t>
  </si>
  <si>
    <t xml:space="preserve">rnd-1_family-274#LINE/R1</t>
  </si>
  <si>
    <t xml:space="preserve">rnd-1_family-204#LTR/Gypsy</t>
  </si>
  <si>
    <t xml:space="preserve">rnd-1_family-557#LTR/Gypsy</t>
  </si>
  <si>
    <t xml:space="preserve">rnd-1_family-235#LTR/Gypsy</t>
  </si>
  <si>
    <t xml:space="preserve">rnd-1_family-602#LTR/Gypsy</t>
  </si>
  <si>
    <t xml:space="preserve">rnd-1_family-356#LTR/Gypsy</t>
  </si>
  <si>
    <t xml:space="preserve">rnd-1_family-324#LTR/Gypsy</t>
  </si>
  <si>
    <t xml:space="preserve">rnd-1_family-383#LINE/R1</t>
  </si>
  <si>
    <t xml:space="preserve">rnd-1_family-222#LTR/Gypsy</t>
  </si>
  <si>
    <t xml:space="preserve">rnd-1_family-372#LTR/Gypsy</t>
  </si>
  <si>
    <t xml:space="preserve">rnd-1_family-449#LTR/Gypsy</t>
  </si>
  <si>
    <t xml:space="preserve">rnd-1_family-313#LTR/Gypsy</t>
  </si>
  <si>
    <t xml:space="preserve">rnd-1_family-566#LTR/Gypsy</t>
  </si>
  <si>
    <t xml:space="preserve">rnd-1_family-269#LTR/Gypsy</t>
  </si>
  <si>
    <t xml:space="preserve">rnd-1_family-421#LTR/Gypsy</t>
  </si>
  <si>
    <t xml:space="preserve">rnd-1_family-401#LTR/Gypsy</t>
  </si>
  <si>
    <t xml:space="preserve">rnd-1_family-255#LTR/Gypsy</t>
  </si>
  <si>
    <t xml:space="preserve">rnd-1_family-347#LINE/I-Jockey</t>
  </si>
  <si>
    <t xml:space="preserve">rnd-1_family-301#LTR/Gypsy</t>
  </si>
  <si>
    <t xml:space="preserve">rnd-1_family-516#DNA/P</t>
  </si>
  <si>
    <t xml:space="preserve">rnd-1_family-208#LTR/Gypsy</t>
  </si>
  <si>
    <t xml:space="preserve">rnd-1_family-539#LINE/I-Jockey</t>
  </si>
  <si>
    <t xml:space="preserve">rnd-3_family-59#LINE/R1-LOA</t>
  </si>
  <si>
    <t xml:space="preserve">rnd-1_family-555#LTR/Pao</t>
  </si>
  <si>
    <t xml:space="preserve">rnd-1_family-594#LTR/Gypsy</t>
  </si>
  <si>
    <t xml:space="preserve">rnd-4_family-46#LINE/R1-LOA</t>
  </si>
  <si>
    <t xml:space="preserve">rnd-1_family-536#LTR/Gypsy</t>
  </si>
  <si>
    <t xml:space="preserve">rnd-1_family-601#LTR/Gypsy</t>
  </si>
  <si>
    <t xml:space="preserve">rnd-1_family-420#LTR/Gypsy</t>
  </si>
  <si>
    <t xml:space="preserve">rnd-1_family-425#LTR/Gypsy</t>
  </si>
  <si>
    <t xml:space="preserve">rnd-5_family-3392#LTR/Pao</t>
  </si>
  <si>
    <t xml:space="preserve">rnd-1_family-404#LTR/Gypsy</t>
  </si>
  <si>
    <t xml:space="preserve">rnd-1_family-473#LINE/R1</t>
  </si>
  <si>
    <t xml:space="preserve">rnd-1_family-236#LTR/Gypsy</t>
  </si>
  <si>
    <t xml:space="preserve">rnd-1_family-242#LINE/CR1</t>
  </si>
  <si>
    <t xml:space="preserve">rnd-1_family-299#LTR/Gypsy</t>
  </si>
  <si>
    <t xml:space="preserve">rnd-1_family-554#LTR/Gypsy</t>
  </si>
  <si>
    <t xml:space="preserve">rnd-4_family-47#LINE/R1-LOA</t>
  </si>
  <si>
    <t xml:space="preserve">rnd-1_family-126#DNA/TcMar-Tc1</t>
  </si>
  <si>
    <t xml:space="preserve">rnd-1_family-466#LINE/R1-LOA</t>
  </si>
  <si>
    <t xml:space="preserve">rnd-5_family-619#DNA/CMC-Transib</t>
  </si>
  <si>
    <t xml:space="preserve">rnd-1_family-394#LTR/Gypsy</t>
  </si>
  <si>
    <t xml:space="preserve">rnd-1_family-542#LINE/I-Jockey</t>
  </si>
  <si>
    <t xml:space="preserve">rnd-5_family-11#LTR/Gypsy</t>
  </si>
  <si>
    <t xml:space="preserve">rnd-1_family-3#DNA/P</t>
  </si>
  <si>
    <t xml:space="preserve">rnd-1_family-589#LTR/Gypsy</t>
  </si>
  <si>
    <t xml:space="preserve">rnd-1_family-360#LTR/Gypsy</t>
  </si>
  <si>
    <t xml:space="preserve">rnd-1_family-447#LINE/I-Jockey</t>
  </si>
  <si>
    <t xml:space="preserve">rnd-1_family-226#LTR/Gypsy</t>
  </si>
  <si>
    <t xml:space="preserve">rnd-5_family-2143#LTR/Pao</t>
  </si>
  <si>
    <t xml:space="preserve">rnd-1_family-556#LINE/I-Jockey</t>
  </si>
  <si>
    <t xml:space="preserve">Plant dataset</t>
  </si>
  <si>
    <t xml:space="preserve">By default if prob is &lt;0.6 gives unknown</t>
  </si>
  <si>
    <t xml:space="preserve">Order</t>
  </si>
  <si>
    <t xml:space="preserve">Superfamily</t>
  </si>
  <si>
    <t xml:space="preserve">ClassI</t>
  </si>
  <si>
    <t xml:space="preserve">PLE</t>
  </si>
  <si>
    <t xml:space="preserve">DIRS</t>
  </si>
  <si>
    <t xml:space="preserve">ClassII</t>
  </si>
  <si>
    <t xml:space="preserve">unknown</t>
  </si>
  <si>
    <t xml:space="preserve">MITE</t>
  </si>
  <si>
    <t xml:space="preserve">nLTR</t>
  </si>
  <si>
    <t xml:space="preserve">ClassIII</t>
  </si>
  <si>
    <t xml:space="preserve">Metazoa dataset</t>
  </si>
  <si>
    <t xml:space="preserve">Harbinger</t>
  </si>
  <si>
    <t xml:space="preserve">Mutator</t>
  </si>
  <si>
    <t xml:space="preserve">nMITE</t>
  </si>
  <si>
    <t xml:space="preserve">BEL</t>
  </si>
  <si>
    <t xml:space="preserve">DS3</t>
  </si>
  <si>
    <t xml:space="preserve">DS3 classifies:</t>
  </si>
  <si>
    <t xml:space="preserve">original order</t>
  </si>
  <si>
    <t xml:space="preserve">original superfamily</t>
  </si>
  <si>
    <t xml:space="preserve">Class_II</t>
  </si>
  <si>
    <t xml:space="preserve">Mariner</t>
  </si>
  <si>
    <t xml:space="preserve">PIF</t>
  </si>
  <si>
    <t xml:space="preserve">Bel-Pao</t>
  </si>
  <si>
    <t xml:space="preserve">Random</t>
  </si>
  <si>
    <t xml:space="preserve">NonTE</t>
  </si>
  <si>
    <t xml:space="preserve">original order fix</t>
  </si>
  <si>
    <t xml:space="preserve">original superfamily fix</t>
  </si>
  <si>
    <t xml:space="preserve">Tc1-Mariner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</si>
</sst>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0"/>
  </numFmts>
  <fonts count="7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  <font>
      <sz val="11"/>
      <color rgb="FF000000"/>
      <name val="Arial"/>
      <family val="0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D9EAD3"/>
      </patternFill>
    </fill>
    <fill>
      <patternFill patternType="solid">
        <fgColor rgb="FFD9EAD3"/>
        <bgColor rgb="FFD9D9D9"/>
      </patternFill>
    </fill>
    <fill>
      <patternFill patternType="solid">
        <fgColor rgb="FFD9D9D9"/>
        <bgColor rgb="FFD9EAD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B7B7B7"/>
      <rgbColor rgb="FF8B8B8B"/>
      <rgbColor rgb="FF729FC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729fcf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729fcf"/>
              </a:solidFill>
            </c:spPr>
          </c:marker>
          <c:dPt>
            <c:idx val="55"/>
            <c:marker>
              <c:symbol val="circle"/>
              <c:size val="7"/>
              <c:spPr>
                <a:solidFill>
                  <a:srgbClr val="729fcf"/>
                </a:solidFill>
              </c:spPr>
            </c:marker>
          </c:dPt>
          <c:dPt>
            <c:idx val="70"/>
            <c:marker>
              <c:symbol val="circle"/>
              <c:size val="7"/>
              <c:spPr>
                <a:solidFill>
                  <a:srgbClr val="bf0041"/>
                </a:solidFill>
              </c:spPr>
            </c:marker>
          </c:dPt>
          <c:dLbls>
            <c:dLbl>
              <c:idx val="55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Training!$C$3:$C$75</c:f>
              <c:numCache>
                <c:formatCode>General</c:formatCode>
                <c:ptCount val="73"/>
                <c:pt idx="0">
                  <c:v>0.23</c:v>
                </c:pt>
                <c:pt idx="1">
                  <c:v>0.39</c:v>
                </c:pt>
                <c:pt idx="2">
                  <c:v>0.46</c:v>
                </c:pt>
                <c:pt idx="3">
                  <c:v>0.5</c:v>
                </c:pt>
                <c:pt idx="4">
                  <c:v>0.56</c:v>
                </c:pt>
                <c:pt idx="5">
                  <c:v>0.58</c:v>
                </c:pt>
                <c:pt idx="6">
                  <c:v>0.6</c:v>
                </c:pt>
                <c:pt idx="7">
                  <c:v>0.58</c:v>
                </c:pt>
                <c:pt idx="8">
                  <c:v>0.63</c:v>
                </c:pt>
                <c:pt idx="9">
                  <c:v>0.63</c:v>
                </c:pt>
                <c:pt idx="10">
                  <c:v>0.63</c:v>
                </c:pt>
                <c:pt idx="11">
                  <c:v>0.65</c:v>
                </c:pt>
                <c:pt idx="12">
                  <c:v>0.66</c:v>
                </c:pt>
                <c:pt idx="13">
                  <c:v>0.66</c:v>
                </c:pt>
                <c:pt idx="14">
                  <c:v>0.68</c:v>
                </c:pt>
                <c:pt idx="15">
                  <c:v>0.68</c:v>
                </c:pt>
                <c:pt idx="16">
                  <c:v>0.69</c:v>
                </c:pt>
                <c:pt idx="17">
                  <c:v>0.7</c:v>
                </c:pt>
                <c:pt idx="18">
                  <c:v>0.7</c:v>
                </c:pt>
                <c:pt idx="19">
                  <c:v>0.71</c:v>
                </c:pt>
                <c:pt idx="20">
                  <c:v>0.71</c:v>
                </c:pt>
                <c:pt idx="21">
                  <c:v>0.73</c:v>
                </c:pt>
                <c:pt idx="22">
                  <c:v>0.73</c:v>
                </c:pt>
                <c:pt idx="23">
                  <c:v>0.73</c:v>
                </c:pt>
                <c:pt idx="24">
                  <c:v>0.72</c:v>
                </c:pt>
                <c:pt idx="25">
                  <c:v>0.73</c:v>
                </c:pt>
                <c:pt idx="26">
                  <c:v>0.74</c:v>
                </c:pt>
                <c:pt idx="27">
                  <c:v>0.74</c:v>
                </c:pt>
                <c:pt idx="28">
                  <c:v>0.74</c:v>
                </c:pt>
                <c:pt idx="29">
                  <c:v>0.74</c:v>
                </c:pt>
                <c:pt idx="30">
                  <c:v>0.73</c:v>
                </c:pt>
                <c:pt idx="31">
                  <c:v>0.75</c:v>
                </c:pt>
                <c:pt idx="32">
                  <c:v>0.75</c:v>
                </c:pt>
                <c:pt idx="33">
                  <c:v>0.76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  <c:pt idx="43">
                  <c:v>0.76</c:v>
                </c:pt>
                <c:pt idx="44">
                  <c:v>0.77</c:v>
                </c:pt>
                <c:pt idx="45">
                  <c:v>0.76</c:v>
                </c:pt>
                <c:pt idx="46">
                  <c:v>0.77</c:v>
                </c:pt>
                <c:pt idx="47">
                  <c:v>0.77</c:v>
                </c:pt>
                <c:pt idx="48">
                  <c:v>0.77</c:v>
                </c:pt>
                <c:pt idx="49">
                  <c:v>0.77</c:v>
                </c:pt>
                <c:pt idx="50">
                  <c:v>0.77</c:v>
                </c:pt>
                <c:pt idx="51">
                  <c:v>0.77</c:v>
                </c:pt>
                <c:pt idx="52">
                  <c:v>0.78</c:v>
                </c:pt>
                <c:pt idx="53">
                  <c:v>0.77</c:v>
                </c:pt>
                <c:pt idx="54">
                  <c:v>0.78</c:v>
                </c:pt>
                <c:pt idx="55">
                  <c:v>0.78</c:v>
                </c:pt>
                <c:pt idx="56">
                  <c:v>0.78</c:v>
                </c:pt>
                <c:pt idx="57">
                  <c:v>0.78</c:v>
                </c:pt>
                <c:pt idx="58">
                  <c:v>0.78</c:v>
                </c:pt>
                <c:pt idx="59">
                  <c:v>0.78</c:v>
                </c:pt>
                <c:pt idx="60">
                  <c:v>0.78</c:v>
                </c:pt>
                <c:pt idx="61">
                  <c:v>0.78</c:v>
                </c:pt>
                <c:pt idx="62">
                  <c:v>0.78</c:v>
                </c:pt>
                <c:pt idx="63">
                  <c:v>0.78</c:v>
                </c:pt>
                <c:pt idx="64">
                  <c:v>0.78</c:v>
                </c:pt>
                <c:pt idx="65">
                  <c:v>0.78</c:v>
                </c:pt>
                <c:pt idx="66">
                  <c:v>0.78</c:v>
                </c:pt>
                <c:pt idx="67">
                  <c:v>0.78</c:v>
                </c:pt>
                <c:pt idx="68">
                  <c:v>0.78</c:v>
                </c:pt>
                <c:pt idx="69">
                  <c:v>0.78</c:v>
                </c:pt>
                <c:pt idx="70">
                  <c:v>0.79</c:v>
                </c:pt>
                <c:pt idx="71">
                  <c:v>0.79</c:v>
                </c:pt>
                <c:pt idx="72">
                  <c:v>0.79</c:v>
                </c:pt>
              </c:numCache>
            </c:numRef>
          </c:yVal>
          <c:smooth val="1"/>
        </c:ser>
        <c:axId val="87698079"/>
        <c:axId val="47269162"/>
      </c:scatterChart>
      <c:valAx>
        <c:axId val="87698079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Checkpoint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7269162"/>
        <c:crosses val="autoZero"/>
        <c:crossBetween val="midCat"/>
      </c:valAx>
      <c:valAx>
        <c:axId val="4726916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F1-score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769807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655560</xdr:colOff>
      <xdr:row>25</xdr:row>
      <xdr:rowOff>126360</xdr:rowOff>
    </xdr:from>
    <xdr:to>
      <xdr:col>14</xdr:col>
      <xdr:colOff>493200</xdr:colOff>
      <xdr:row>47</xdr:row>
      <xdr:rowOff>63720</xdr:rowOff>
    </xdr:to>
    <xdr:graphicFrame>
      <xdr:nvGraphicFramePr>
        <xdr:cNvPr id="0" name="Chart 1"/>
        <xdr:cNvGraphicFramePr/>
      </xdr:nvGraphicFramePr>
      <xdr:xfrm>
        <a:off x="6000840" y="4507920"/>
        <a:ext cx="6964920" cy="379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5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J22" activeCellId="0" sqref="J22"/>
    </sheetView>
  </sheetViews>
  <sheetFormatPr defaultColWidth="11.53515625" defaultRowHeight="15.75" zeroHeight="false" outlineLevelRow="0" outlineLevelCol="0"/>
  <cols>
    <col collapsed="false" customWidth="true" hidden="false" outlineLevel="0" max="1024" min="1" style="0" width="12.64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3.8" hidden="false" customHeight="false" outlineLevel="0" collapsed="false">
      <c r="A3" s="3" t="n">
        <v>0.34</v>
      </c>
      <c r="B3" s="3" t="n">
        <v>0.23</v>
      </c>
      <c r="C3" s="3" t="n">
        <v>0.23</v>
      </c>
      <c r="D3" s="3" t="n">
        <v>132120</v>
      </c>
      <c r="E3" s="3" t="s">
        <v>6</v>
      </c>
    </row>
    <row r="4" customFormat="false" ht="13.8" hidden="false" customHeight="false" outlineLevel="0" collapsed="false">
      <c r="A4" s="3" t="n">
        <v>0.51</v>
      </c>
      <c r="B4" s="3" t="n">
        <v>0.36</v>
      </c>
      <c r="C4" s="3" t="n">
        <v>0.39</v>
      </c>
      <c r="D4" s="3" t="n">
        <v>132120</v>
      </c>
      <c r="E4" s="3" t="s">
        <v>7</v>
      </c>
    </row>
    <row r="5" customFormat="false" ht="13.8" hidden="false" customHeight="false" outlineLevel="0" collapsed="false">
      <c r="A5" s="3" t="n">
        <v>0.57</v>
      </c>
      <c r="B5" s="3" t="n">
        <v>0.44</v>
      </c>
      <c r="C5" s="3" t="n">
        <v>0.46</v>
      </c>
      <c r="D5" s="3" t="n">
        <v>132120</v>
      </c>
      <c r="E5" s="3" t="s">
        <v>8</v>
      </c>
    </row>
    <row r="6" customFormat="false" ht="13.8" hidden="false" customHeight="false" outlineLevel="0" collapsed="false">
      <c r="A6" s="3" t="n">
        <v>0.62</v>
      </c>
      <c r="B6" s="3" t="n">
        <v>0.47</v>
      </c>
      <c r="C6" s="3" t="n">
        <v>0.5</v>
      </c>
      <c r="D6" s="3" t="n">
        <v>132120</v>
      </c>
      <c r="E6" s="3" t="s">
        <v>9</v>
      </c>
    </row>
    <row r="7" customFormat="false" ht="13.8" hidden="false" customHeight="false" outlineLevel="0" collapsed="false">
      <c r="A7" s="3" t="n">
        <v>0.62</v>
      </c>
      <c r="B7" s="3" t="n">
        <v>0.54</v>
      </c>
      <c r="C7" s="3" t="n">
        <v>0.56</v>
      </c>
      <c r="D7" s="3" t="n">
        <v>132120</v>
      </c>
      <c r="E7" s="3" t="s">
        <v>10</v>
      </c>
    </row>
    <row r="8" customFormat="false" ht="13.8" hidden="false" customHeight="false" outlineLevel="0" collapsed="false">
      <c r="A8" s="3" t="n">
        <v>0.64</v>
      </c>
      <c r="B8" s="3" t="n">
        <v>0.56</v>
      </c>
      <c r="C8" s="3" t="n">
        <v>0.58</v>
      </c>
      <c r="D8" s="3" t="n">
        <v>132120</v>
      </c>
      <c r="E8" s="3" t="s">
        <v>11</v>
      </c>
    </row>
    <row r="9" customFormat="false" ht="13.8" hidden="false" customHeight="false" outlineLevel="0" collapsed="false">
      <c r="A9" s="3" t="n">
        <v>0.66</v>
      </c>
      <c r="B9" s="3" t="n">
        <v>0.57</v>
      </c>
      <c r="C9" s="3" t="n">
        <v>0.6</v>
      </c>
      <c r="D9" s="3" t="n">
        <v>132120</v>
      </c>
      <c r="E9" s="3" t="s">
        <v>12</v>
      </c>
    </row>
    <row r="10" customFormat="false" ht="13.8" hidden="false" customHeight="false" outlineLevel="0" collapsed="false">
      <c r="A10" s="3" t="n">
        <v>0.7</v>
      </c>
      <c r="B10" s="3" t="n">
        <v>0.56</v>
      </c>
      <c r="C10" s="3" t="n">
        <v>0.58</v>
      </c>
      <c r="D10" s="3" t="n">
        <v>132120</v>
      </c>
      <c r="E10" s="3" t="s">
        <v>13</v>
      </c>
    </row>
    <row r="11" customFormat="false" ht="13.8" hidden="false" customHeight="false" outlineLevel="0" collapsed="false">
      <c r="A11" s="3" t="n">
        <v>0.69</v>
      </c>
      <c r="B11" s="3" t="n">
        <v>0.61</v>
      </c>
      <c r="C11" s="3" t="n">
        <v>0.63</v>
      </c>
      <c r="D11" s="3" t="n">
        <v>132120</v>
      </c>
      <c r="E11" s="3" t="s">
        <v>14</v>
      </c>
    </row>
    <row r="12" customFormat="false" ht="13.8" hidden="false" customHeight="false" outlineLevel="0" collapsed="false">
      <c r="A12" s="3" t="n">
        <v>0.69</v>
      </c>
      <c r="B12" s="3" t="n">
        <v>0.61</v>
      </c>
      <c r="C12" s="3" t="n">
        <v>0.63</v>
      </c>
      <c r="D12" s="3" t="n">
        <v>132120</v>
      </c>
      <c r="E12" s="3" t="s">
        <v>15</v>
      </c>
    </row>
    <row r="13" customFormat="false" ht="13.8" hidden="false" customHeight="false" outlineLevel="0" collapsed="false">
      <c r="A13" s="3" t="n">
        <v>0.71</v>
      </c>
      <c r="B13" s="3" t="n">
        <v>0.61</v>
      </c>
      <c r="C13" s="3" t="n">
        <v>0.63</v>
      </c>
      <c r="D13" s="3" t="n">
        <v>132120</v>
      </c>
      <c r="E13" s="3" t="s">
        <v>16</v>
      </c>
    </row>
    <row r="14" customFormat="false" ht="13.8" hidden="false" customHeight="false" outlineLevel="0" collapsed="false">
      <c r="A14" s="3" t="n">
        <v>0.7</v>
      </c>
      <c r="B14" s="3" t="n">
        <v>0.64</v>
      </c>
      <c r="C14" s="3" t="n">
        <v>0.65</v>
      </c>
      <c r="D14" s="3" t="n">
        <v>132120</v>
      </c>
      <c r="E14" s="3" t="s">
        <v>17</v>
      </c>
    </row>
    <row r="15" customFormat="false" ht="13.8" hidden="false" customHeight="false" outlineLevel="0" collapsed="false">
      <c r="A15" s="3" t="n">
        <v>0.71</v>
      </c>
      <c r="B15" s="3" t="n">
        <v>0.65</v>
      </c>
      <c r="C15" s="3" t="n">
        <v>0.66</v>
      </c>
      <c r="D15" s="3" t="n">
        <v>132120</v>
      </c>
      <c r="E15" s="3" t="s">
        <v>18</v>
      </c>
    </row>
    <row r="16" customFormat="false" ht="13.8" hidden="false" customHeight="false" outlineLevel="0" collapsed="false">
      <c r="A16" s="3" t="n">
        <v>0.73</v>
      </c>
      <c r="B16" s="3" t="n">
        <v>0.63</v>
      </c>
      <c r="C16" s="3" t="n">
        <v>0.66</v>
      </c>
      <c r="D16" s="3" t="n">
        <v>132120</v>
      </c>
      <c r="E16" s="3" t="s">
        <v>19</v>
      </c>
    </row>
    <row r="17" customFormat="false" ht="13.8" hidden="false" customHeight="false" outlineLevel="0" collapsed="false">
      <c r="A17" s="3" t="n">
        <v>0.73</v>
      </c>
      <c r="B17" s="3" t="n">
        <v>0.66</v>
      </c>
      <c r="C17" s="3" t="n">
        <v>0.68</v>
      </c>
      <c r="D17" s="3" t="n">
        <v>132120</v>
      </c>
      <c r="E17" s="3" t="s">
        <v>20</v>
      </c>
    </row>
    <row r="18" customFormat="false" ht="13.8" hidden="false" customHeight="false" outlineLevel="0" collapsed="false">
      <c r="A18" s="3" t="n">
        <v>0.73</v>
      </c>
      <c r="B18" s="3" t="n">
        <v>0.67</v>
      </c>
      <c r="C18" s="3" t="n">
        <v>0.68</v>
      </c>
      <c r="D18" s="3" t="n">
        <v>132120</v>
      </c>
      <c r="E18" s="3" t="s">
        <v>21</v>
      </c>
    </row>
    <row r="19" customFormat="false" ht="13.8" hidden="false" customHeight="false" outlineLevel="0" collapsed="false">
      <c r="A19" s="3" t="n">
        <v>0.73</v>
      </c>
      <c r="B19" s="3" t="n">
        <v>0.67</v>
      </c>
      <c r="C19" s="3" t="n">
        <v>0.69</v>
      </c>
      <c r="D19" s="3" t="n">
        <v>132120</v>
      </c>
      <c r="E19" s="3" t="s">
        <v>22</v>
      </c>
    </row>
    <row r="20" customFormat="false" ht="13.8" hidden="false" customHeight="false" outlineLevel="0" collapsed="false">
      <c r="A20" s="3" t="n">
        <v>0.74</v>
      </c>
      <c r="B20" s="3" t="n">
        <v>0.69</v>
      </c>
      <c r="C20" s="3" t="n">
        <v>0.7</v>
      </c>
      <c r="D20" s="3" t="n">
        <v>132120</v>
      </c>
      <c r="E20" s="3" t="s">
        <v>23</v>
      </c>
    </row>
    <row r="21" customFormat="false" ht="13.8" hidden="false" customHeight="false" outlineLevel="0" collapsed="false">
      <c r="A21" s="3" t="n">
        <v>0.75</v>
      </c>
      <c r="B21" s="3" t="n">
        <v>0.69</v>
      </c>
      <c r="C21" s="3" t="n">
        <v>0.7</v>
      </c>
      <c r="D21" s="3" t="n">
        <v>132120</v>
      </c>
      <c r="E21" s="3" t="s">
        <v>24</v>
      </c>
    </row>
    <row r="22" customFormat="false" ht="13.8" hidden="false" customHeight="false" outlineLevel="0" collapsed="false">
      <c r="A22" s="3" t="n">
        <v>0.75</v>
      </c>
      <c r="B22" s="3" t="n">
        <v>0.7</v>
      </c>
      <c r="C22" s="3" t="n">
        <v>0.71</v>
      </c>
      <c r="D22" s="3" t="n">
        <v>132120</v>
      </c>
      <c r="E22" s="3" t="s">
        <v>25</v>
      </c>
    </row>
    <row r="23" customFormat="false" ht="13.8" hidden="false" customHeight="false" outlineLevel="0" collapsed="false">
      <c r="A23" s="3" t="n">
        <v>0.75</v>
      </c>
      <c r="B23" s="3" t="n">
        <v>0.7</v>
      </c>
      <c r="C23" s="3" t="n">
        <v>0.71</v>
      </c>
      <c r="D23" s="3" t="n">
        <v>132120</v>
      </c>
      <c r="E23" s="3" t="s">
        <v>26</v>
      </c>
    </row>
    <row r="24" customFormat="false" ht="13.8" hidden="false" customHeight="false" outlineLevel="0" collapsed="false">
      <c r="A24" s="3" t="n">
        <v>0.75</v>
      </c>
      <c r="B24" s="3" t="n">
        <v>0.72</v>
      </c>
      <c r="C24" s="3" t="n">
        <v>0.73</v>
      </c>
      <c r="D24" s="3" t="n">
        <v>132120</v>
      </c>
      <c r="E24" s="3" t="s">
        <v>27</v>
      </c>
    </row>
    <row r="25" customFormat="false" ht="13.8" hidden="false" customHeight="false" outlineLevel="0" collapsed="false">
      <c r="A25" s="3" t="n">
        <v>0.76</v>
      </c>
      <c r="B25" s="3" t="n">
        <v>0.71</v>
      </c>
      <c r="C25" s="3" t="n">
        <v>0.73</v>
      </c>
      <c r="D25" s="3" t="n">
        <v>132120</v>
      </c>
      <c r="E25" s="3" t="s">
        <v>28</v>
      </c>
    </row>
    <row r="26" customFormat="false" ht="13.8" hidden="false" customHeight="false" outlineLevel="0" collapsed="false">
      <c r="A26" s="3" t="n">
        <v>0.76</v>
      </c>
      <c r="B26" s="3" t="n">
        <v>0.71</v>
      </c>
      <c r="C26" s="3" t="n">
        <v>0.73</v>
      </c>
      <c r="D26" s="3" t="n">
        <v>132120</v>
      </c>
      <c r="E26" s="3" t="s">
        <v>29</v>
      </c>
    </row>
    <row r="27" customFormat="false" ht="13.8" hidden="false" customHeight="false" outlineLevel="0" collapsed="false">
      <c r="A27" s="3" t="n">
        <v>0.76</v>
      </c>
      <c r="B27" s="3" t="n">
        <v>0.71</v>
      </c>
      <c r="C27" s="3" t="n">
        <v>0.72</v>
      </c>
      <c r="D27" s="3" t="n">
        <v>132120</v>
      </c>
      <c r="E27" s="3" t="s">
        <v>30</v>
      </c>
    </row>
    <row r="28" customFormat="false" ht="13.8" hidden="false" customHeight="false" outlineLevel="0" collapsed="false">
      <c r="A28" s="3" t="n">
        <v>0.76</v>
      </c>
      <c r="B28" s="3" t="n">
        <v>0.72</v>
      </c>
      <c r="C28" s="3" t="n">
        <v>0.73</v>
      </c>
      <c r="D28" s="3" t="n">
        <v>132120</v>
      </c>
      <c r="E28" s="3" t="s">
        <v>31</v>
      </c>
    </row>
    <row r="29" customFormat="false" ht="13.8" hidden="false" customHeight="false" outlineLevel="0" collapsed="false">
      <c r="A29" s="3" t="n">
        <v>0.76</v>
      </c>
      <c r="B29" s="3" t="n">
        <v>0.73</v>
      </c>
      <c r="C29" s="3" t="n">
        <v>0.74</v>
      </c>
      <c r="D29" s="3" t="n">
        <v>132120</v>
      </c>
      <c r="E29" s="3" t="s">
        <v>32</v>
      </c>
    </row>
    <row r="30" customFormat="false" ht="13.8" hidden="false" customHeight="false" outlineLevel="0" collapsed="false">
      <c r="A30" s="3" t="n">
        <v>0.77</v>
      </c>
      <c r="B30" s="3" t="n">
        <v>0.73</v>
      </c>
      <c r="C30" s="3" t="n">
        <v>0.74</v>
      </c>
      <c r="D30" s="3" t="n">
        <v>132120</v>
      </c>
      <c r="E30" s="3" t="s">
        <v>33</v>
      </c>
    </row>
    <row r="31" customFormat="false" ht="13.8" hidden="false" customHeight="false" outlineLevel="0" collapsed="false">
      <c r="A31" s="3" t="n">
        <v>0.77</v>
      </c>
      <c r="B31" s="3" t="n">
        <v>0.73</v>
      </c>
      <c r="C31" s="3" t="n">
        <v>0.74</v>
      </c>
      <c r="D31" s="3" t="n">
        <v>132120</v>
      </c>
      <c r="E31" s="3" t="s">
        <v>34</v>
      </c>
    </row>
    <row r="32" customFormat="false" ht="13.8" hidden="false" customHeight="false" outlineLevel="0" collapsed="false">
      <c r="A32" s="3" t="n">
        <v>0.77</v>
      </c>
      <c r="B32" s="3" t="n">
        <v>0.73</v>
      </c>
      <c r="C32" s="3" t="n">
        <v>0.74</v>
      </c>
      <c r="D32" s="3" t="n">
        <v>132120</v>
      </c>
      <c r="E32" s="3" t="s">
        <v>35</v>
      </c>
    </row>
    <row r="33" customFormat="false" ht="13.8" hidden="false" customHeight="false" outlineLevel="0" collapsed="false">
      <c r="A33" s="3" t="n">
        <v>0.77</v>
      </c>
      <c r="B33" s="3" t="n">
        <v>0.72</v>
      </c>
      <c r="C33" s="3" t="n">
        <v>0.73</v>
      </c>
      <c r="D33" s="3" t="n">
        <v>132120</v>
      </c>
      <c r="E33" s="3" t="s">
        <v>36</v>
      </c>
    </row>
    <row r="34" customFormat="false" ht="13.8" hidden="false" customHeight="false" outlineLevel="0" collapsed="false">
      <c r="A34" s="3" t="n">
        <v>0.77</v>
      </c>
      <c r="B34" s="3" t="n">
        <v>0.74</v>
      </c>
      <c r="C34" s="3" t="n">
        <v>0.75</v>
      </c>
      <c r="D34" s="3" t="n">
        <v>132120</v>
      </c>
      <c r="E34" s="3" t="s">
        <v>37</v>
      </c>
    </row>
    <row r="35" customFormat="false" ht="13.8" hidden="false" customHeight="false" outlineLevel="0" collapsed="false">
      <c r="A35" s="3" t="n">
        <v>0.77</v>
      </c>
      <c r="B35" s="3" t="n">
        <v>0.74</v>
      </c>
      <c r="C35" s="3" t="n">
        <v>0.75</v>
      </c>
      <c r="D35" s="3" t="n">
        <v>132120</v>
      </c>
      <c r="E35" s="3" t="s">
        <v>38</v>
      </c>
    </row>
    <row r="36" customFormat="false" ht="13.8" hidden="false" customHeight="false" outlineLevel="0" collapsed="false">
      <c r="A36" s="3" t="n">
        <v>0.78</v>
      </c>
      <c r="B36" s="3" t="n">
        <v>0.75</v>
      </c>
      <c r="C36" s="3" t="n">
        <v>0.76</v>
      </c>
      <c r="D36" s="3" t="n">
        <v>132120</v>
      </c>
      <c r="E36" s="3" t="s">
        <v>39</v>
      </c>
    </row>
    <row r="37" customFormat="false" ht="13.8" hidden="false" customHeight="false" outlineLevel="0" collapsed="false">
      <c r="A37" s="3" t="n">
        <v>0.77</v>
      </c>
      <c r="B37" s="3" t="n">
        <v>0.75</v>
      </c>
      <c r="C37" s="3" t="n">
        <v>0.75</v>
      </c>
      <c r="D37" s="3" t="n">
        <v>132120</v>
      </c>
      <c r="E37" s="3" t="s">
        <v>40</v>
      </c>
    </row>
    <row r="38" customFormat="false" ht="13.8" hidden="false" customHeight="false" outlineLevel="0" collapsed="false">
      <c r="A38" s="3" t="n">
        <v>0.77</v>
      </c>
      <c r="B38" s="3" t="n">
        <v>0.74</v>
      </c>
      <c r="C38" s="3" t="n">
        <v>0.75</v>
      </c>
      <c r="D38" s="3" t="n">
        <v>132120</v>
      </c>
      <c r="E38" s="3" t="s">
        <v>41</v>
      </c>
    </row>
    <row r="39" customFormat="false" ht="13.8" hidden="false" customHeight="false" outlineLevel="0" collapsed="false">
      <c r="A39" s="3" t="n">
        <v>0.77</v>
      </c>
      <c r="B39" s="3" t="n">
        <v>0.74</v>
      </c>
      <c r="C39" s="3" t="n">
        <v>0.75</v>
      </c>
      <c r="D39" s="3" t="n">
        <v>132120</v>
      </c>
      <c r="E39" s="3" t="s">
        <v>42</v>
      </c>
    </row>
    <row r="40" customFormat="false" ht="13.8" hidden="false" customHeight="false" outlineLevel="0" collapsed="false">
      <c r="A40" s="3" t="n">
        <v>0.78</v>
      </c>
      <c r="B40" s="3" t="n">
        <v>0.75</v>
      </c>
      <c r="C40" s="3" t="n">
        <v>0.76</v>
      </c>
      <c r="D40" s="3" t="n">
        <v>132120</v>
      </c>
      <c r="E40" s="3" t="s">
        <v>43</v>
      </c>
    </row>
    <row r="41" customFormat="false" ht="13.8" hidden="false" customHeight="false" outlineLevel="0" collapsed="false">
      <c r="A41" s="3" t="n">
        <v>0.78</v>
      </c>
      <c r="B41" s="3" t="n">
        <v>0.75</v>
      </c>
      <c r="C41" s="3" t="n">
        <v>0.76</v>
      </c>
      <c r="D41" s="3" t="n">
        <v>132120</v>
      </c>
      <c r="E41" s="3" t="s">
        <v>44</v>
      </c>
    </row>
    <row r="42" customFormat="false" ht="13.8" hidden="false" customHeight="false" outlineLevel="0" collapsed="false">
      <c r="A42" s="3" t="n">
        <v>0.77</v>
      </c>
      <c r="B42" s="3" t="n">
        <v>0.76</v>
      </c>
      <c r="C42" s="3" t="n">
        <v>0.76</v>
      </c>
      <c r="D42" s="3" t="n">
        <v>132120</v>
      </c>
      <c r="E42" s="3" t="s">
        <v>45</v>
      </c>
    </row>
    <row r="43" customFormat="false" ht="13.8" hidden="false" customHeight="false" outlineLevel="0" collapsed="false">
      <c r="A43" s="3" t="n">
        <v>0.78</v>
      </c>
      <c r="B43" s="3" t="n">
        <v>0.76</v>
      </c>
      <c r="C43" s="3" t="n">
        <v>0.76</v>
      </c>
      <c r="D43" s="3" t="n">
        <v>132120</v>
      </c>
      <c r="E43" s="3" t="s">
        <v>46</v>
      </c>
    </row>
    <row r="44" customFormat="false" ht="13.8" hidden="false" customHeight="false" outlineLevel="0" collapsed="false">
      <c r="A44" s="3" t="n">
        <v>0.78</v>
      </c>
      <c r="B44" s="3" t="n">
        <v>0.75</v>
      </c>
      <c r="C44" s="3" t="n">
        <v>0.76</v>
      </c>
      <c r="D44" s="3" t="n">
        <v>132120</v>
      </c>
      <c r="E44" s="3" t="s">
        <v>47</v>
      </c>
    </row>
    <row r="45" customFormat="false" ht="13.8" hidden="false" customHeight="false" outlineLevel="0" collapsed="false">
      <c r="A45" s="3" t="n">
        <v>0.78</v>
      </c>
      <c r="B45" s="3" t="n">
        <v>0.75</v>
      </c>
      <c r="C45" s="3" t="n">
        <v>0.76</v>
      </c>
      <c r="D45" s="3" t="n">
        <v>132120</v>
      </c>
      <c r="E45" s="3" t="s">
        <v>48</v>
      </c>
    </row>
    <row r="46" customFormat="false" ht="13.8" hidden="false" customHeight="false" outlineLevel="0" collapsed="false">
      <c r="A46" s="3" t="n">
        <v>0.78</v>
      </c>
      <c r="B46" s="3" t="n">
        <v>0.76</v>
      </c>
      <c r="C46" s="3" t="n">
        <v>0.76</v>
      </c>
      <c r="D46" s="3" t="n">
        <v>132120</v>
      </c>
      <c r="E46" s="3" t="s">
        <v>49</v>
      </c>
    </row>
    <row r="47" customFormat="false" ht="13.8" hidden="false" customHeight="false" outlineLevel="0" collapsed="false">
      <c r="A47" s="3" t="n">
        <v>0.78</v>
      </c>
      <c r="B47" s="3" t="n">
        <v>0.76</v>
      </c>
      <c r="C47" s="3" t="n">
        <v>0.77</v>
      </c>
      <c r="D47" s="3" t="n">
        <v>132120</v>
      </c>
      <c r="E47" s="3" t="s">
        <v>50</v>
      </c>
    </row>
    <row r="48" customFormat="false" ht="13.8" hidden="false" customHeight="false" outlineLevel="0" collapsed="false">
      <c r="A48" s="3" t="n">
        <v>0.78</v>
      </c>
      <c r="B48" s="3" t="n">
        <v>0.76</v>
      </c>
      <c r="C48" s="3" t="n">
        <v>0.76</v>
      </c>
      <c r="D48" s="3" t="n">
        <v>132120</v>
      </c>
      <c r="E48" s="3" t="s">
        <v>51</v>
      </c>
    </row>
    <row r="49" customFormat="false" ht="13.8" hidden="false" customHeight="false" outlineLevel="0" collapsed="false">
      <c r="A49" s="3" t="n">
        <v>0.78</v>
      </c>
      <c r="B49" s="3" t="n">
        <v>0.76</v>
      </c>
      <c r="C49" s="3" t="n">
        <v>0.77</v>
      </c>
      <c r="D49" s="3" t="n">
        <v>132120</v>
      </c>
      <c r="E49" s="3" t="s">
        <v>52</v>
      </c>
    </row>
    <row r="50" customFormat="false" ht="13.8" hidden="false" customHeight="false" outlineLevel="0" collapsed="false">
      <c r="A50" s="3" t="n">
        <v>0.78</v>
      </c>
      <c r="B50" s="3" t="n">
        <v>0.76</v>
      </c>
      <c r="C50" s="3" t="n">
        <v>0.77</v>
      </c>
      <c r="D50" s="3" t="n">
        <v>132120</v>
      </c>
      <c r="E50" s="3" t="s">
        <v>53</v>
      </c>
      <c r="I50" s="4" t="s">
        <v>1</v>
      </c>
      <c r="J50" s="4" t="s">
        <v>2</v>
      </c>
      <c r="K50" s="4" t="s">
        <v>3</v>
      </c>
      <c r="L50" s="4" t="s">
        <v>4</v>
      </c>
    </row>
    <row r="51" customFormat="false" ht="13.8" hidden="false" customHeight="false" outlineLevel="0" collapsed="false">
      <c r="A51" s="3" t="n">
        <v>0.78</v>
      </c>
      <c r="B51" s="3" t="n">
        <v>0.77</v>
      </c>
      <c r="C51" s="3" t="n">
        <v>0.77</v>
      </c>
      <c r="D51" s="3" t="n">
        <v>132120</v>
      </c>
      <c r="E51" s="3" t="s">
        <v>54</v>
      </c>
      <c r="H51" s="5" t="s">
        <v>55</v>
      </c>
      <c r="I51" s="3" t="n">
        <v>0.64</v>
      </c>
      <c r="J51" s="3" t="n">
        <v>0.63</v>
      </c>
      <c r="K51" s="3" t="n">
        <v>0.64</v>
      </c>
      <c r="L51" s="3" t="n">
        <v>3716</v>
      </c>
      <c r="M51" s="3"/>
      <c r="R51" s="4"/>
      <c r="S51" s="6"/>
      <c r="T51" s="6"/>
      <c r="U51" s="6"/>
    </row>
    <row r="52" customFormat="false" ht="13.8" hidden="false" customHeight="false" outlineLevel="0" collapsed="false">
      <c r="A52" s="3" t="n">
        <v>0.78</v>
      </c>
      <c r="B52" s="3" t="n">
        <v>0.77</v>
      </c>
      <c r="C52" s="3" t="n">
        <v>0.77</v>
      </c>
      <c r="D52" s="3" t="n">
        <v>132120</v>
      </c>
      <c r="E52" s="3" t="s">
        <v>56</v>
      </c>
      <c r="H52" s="5" t="s">
        <v>57</v>
      </c>
      <c r="I52" s="3" t="n">
        <v>0.67</v>
      </c>
      <c r="J52" s="3" t="n">
        <v>0.69</v>
      </c>
      <c r="K52" s="3" t="n">
        <v>0.68</v>
      </c>
      <c r="L52" s="3" t="n">
        <v>1090</v>
      </c>
      <c r="M52" s="3"/>
      <c r="R52" s="4"/>
      <c r="S52" s="6"/>
      <c r="T52" s="6"/>
      <c r="U52" s="6"/>
    </row>
    <row r="53" customFormat="false" ht="13.8" hidden="false" customHeight="false" outlineLevel="0" collapsed="false">
      <c r="A53" s="3" t="n">
        <v>0.78</v>
      </c>
      <c r="B53" s="3" t="n">
        <v>0.77</v>
      </c>
      <c r="C53" s="3" t="n">
        <v>0.77</v>
      </c>
      <c r="D53" s="3" t="n">
        <v>132120</v>
      </c>
      <c r="E53" s="3" t="s">
        <v>58</v>
      </c>
      <c r="H53" s="5" t="s">
        <v>59</v>
      </c>
      <c r="I53" s="3" t="n">
        <v>0.87</v>
      </c>
      <c r="J53" s="3" t="n">
        <v>0.9</v>
      </c>
      <c r="K53" s="3" t="n">
        <v>0.88</v>
      </c>
      <c r="L53" s="3" t="n">
        <v>12318</v>
      </c>
      <c r="M53" s="3"/>
      <c r="R53" s="4"/>
      <c r="S53" s="6"/>
      <c r="T53" s="6"/>
      <c r="U53" s="6"/>
    </row>
    <row r="54" customFormat="false" ht="13.8" hidden="false" customHeight="false" outlineLevel="0" collapsed="false">
      <c r="A54" s="3" t="n">
        <v>0.78</v>
      </c>
      <c r="B54" s="3" t="n">
        <v>0.77</v>
      </c>
      <c r="C54" s="3" t="n">
        <v>0.77</v>
      </c>
      <c r="D54" s="3" t="n">
        <v>132120</v>
      </c>
      <c r="E54" s="3" t="s">
        <v>60</v>
      </c>
      <c r="H54" s="5" t="s">
        <v>61</v>
      </c>
      <c r="I54" s="3" t="n">
        <v>0.8</v>
      </c>
      <c r="J54" s="3" t="n">
        <v>0.71</v>
      </c>
      <c r="K54" s="3" t="n">
        <v>0.76</v>
      </c>
      <c r="L54" s="3" t="n">
        <v>15934</v>
      </c>
      <c r="M54" s="3"/>
      <c r="R54" s="4"/>
      <c r="S54" s="6"/>
      <c r="T54" s="6"/>
      <c r="U54" s="6"/>
    </row>
    <row r="55" customFormat="false" ht="13.8" hidden="false" customHeight="false" outlineLevel="0" collapsed="false">
      <c r="A55" s="3" t="n">
        <v>0.78</v>
      </c>
      <c r="B55" s="3" t="n">
        <v>0.77</v>
      </c>
      <c r="C55" s="3" t="n">
        <v>0.78</v>
      </c>
      <c r="D55" s="3" t="n">
        <v>132120</v>
      </c>
      <c r="E55" s="3" t="s">
        <v>62</v>
      </c>
      <c r="H55" s="5" t="s">
        <v>63</v>
      </c>
      <c r="I55" s="3" t="n">
        <v>0.84</v>
      </c>
      <c r="J55" s="3" t="n">
        <v>0.81</v>
      </c>
      <c r="K55" s="3" t="n">
        <v>0.83</v>
      </c>
      <c r="L55" s="3" t="n">
        <v>22941</v>
      </c>
      <c r="M55" s="3"/>
      <c r="R55" s="4"/>
      <c r="S55" s="6"/>
      <c r="T55" s="6"/>
      <c r="U55" s="6"/>
    </row>
    <row r="56" customFormat="false" ht="13.8" hidden="false" customHeight="false" outlineLevel="0" collapsed="false">
      <c r="A56" s="3" t="n">
        <v>0.78</v>
      </c>
      <c r="B56" s="3" t="n">
        <v>0.77</v>
      </c>
      <c r="C56" s="3" t="n">
        <v>0.77</v>
      </c>
      <c r="D56" s="3" t="n">
        <v>132120</v>
      </c>
      <c r="E56" s="3" t="s">
        <v>64</v>
      </c>
      <c r="H56" s="5" t="s">
        <v>65</v>
      </c>
      <c r="I56" s="3" t="n">
        <v>0.72</v>
      </c>
      <c r="J56" s="3" t="n">
        <v>0.81</v>
      </c>
      <c r="K56" s="3" t="n">
        <v>0.76</v>
      </c>
      <c r="L56" s="3" t="n">
        <v>9796</v>
      </c>
      <c r="M56" s="3"/>
      <c r="R56" s="4"/>
      <c r="S56" s="6"/>
      <c r="T56" s="6"/>
      <c r="U56" s="6"/>
    </row>
    <row r="57" customFormat="false" ht="13.8" hidden="false" customHeight="false" outlineLevel="0" collapsed="false">
      <c r="A57" s="3" t="n">
        <v>0.79</v>
      </c>
      <c r="B57" s="3" t="n">
        <v>0.77</v>
      </c>
      <c r="C57" s="3" t="n">
        <v>0.78</v>
      </c>
      <c r="D57" s="3" t="n">
        <v>132120</v>
      </c>
      <c r="E57" s="3" t="s">
        <v>66</v>
      </c>
      <c r="H57" s="5" t="s">
        <v>67</v>
      </c>
      <c r="I57" s="3" t="n">
        <v>0.58</v>
      </c>
      <c r="J57" s="3" t="n">
        <v>0.72</v>
      </c>
      <c r="K57" s="3" t="n">
        <v>0.64</v>
      </c>
      <c r="L57" s="3" t="n">
        <v>2840</v>
      </c>
      <c r="M57" s="3"/>
      <c r="R57" s="4"/>
      <c r="S57" s="6"/>
      <c r="T57" s="6"/>
      <c r="U57" s="6"/>
    </row>
    <row r="58" customFormat="false" ht="13.8" hidden="false" customHeight="false" outlineLevel="0" collapsed="false">
      <c r="A58" s="3" t="n">
        <v>0.78</v>
      </c>
      <c r="B58" s="3" t="n">
        <v>0.78</v>
      </c>
      <c r="C58" s="3" t="n">
        <v>0.78</v>
      </c>
      <c r="D58" s="3" t="n">
        <v>132120</v>
      </c>
      <c r="E58" s="3" t="s">
        <v>68</v>
      </c>
      <c r="H58" s="5" t="s">
        <v>69</v>
      </c>
      <c r="I58" s="3" t="n">
        <v>0.88</v>
      </c>
      <c r="J58" s="3" t="n">
        <v>0.8</v>
      </c>
      <c r="K58" s="3" t="n">
        <v>0.84</v>
      </c>
      <c r="L58" s="3" t="n">
        <v>22741</v>
      </c>
      <c r="M58" s="3"/>
      <c r="R58" s="4"/>
      <c r="S58" s="6"/>
      <c r="T58" s="6"/>
      <c r="U58" s="6"/>
    </row>
    <row r="59" customFormat="false" ht="13.8" hidden="false" customHeight="false" outlineLevel="0" collapsed="false">
      <c r="A59" s="3" t="n">
        <v>0.79</v>
      </c>
      <c r="B59" s="3" t="n">
        <v>0.78</v>
      </c>
      <c r="C59" s="3" t="n">
        <v>0.78</v>
      </c>
      <c r="D59" s="3" t="n">
        <v>132120</v>
      </c>
      <c r="E59" s="3" t="s">
        <v>70</v>
      </c>
      <c r="H59" s="5" t="s">
        <v>71</v>
      </c>
      <c r="I59" s="3" t="n">
        <v>0.59</v>
      </c>
      <c r="J59" s="3" t="n">
        <v>0.63</v>
      </c>
      <c r="K59" s="3" t="n">
        <v>0.61</v>
      </c>
      <c r="L59" s="3" t="n">
        <v>1443</v>
      </c>
      <c r="M59" s="3"/>
      <c r="R59" s="4"/>
      <c r="S59" s="6"/>
      <c r="T59" s="6"/>
      <c r="U59" s="6"/>
    </row>
    <row r="60" customFormat="false" ht="13.8" hidden="false" customHeight="false" outlineLevel="0" collapsed="false">
      <c r="A60" s="3" t="n">
        <v>0.79</v>
      </c>
      <c r="B60" s="3" t="n">
        <v>0.77</v>
      </c>
      <c r="C60" s="3" t="n">
        <v>0.78</v>
      </c>
      <c r="D60" s="3" t="n">
        <v>132120</v>
      </c>
      <c r="E60" s="3" t="s">
        <v>72</v>
      </c>
      <c r="H60" s="5" t="s">
        <v>73</v>
      </c>
      <c r="I60" s="3" t="n">
        <v>0.61</v>
      </c>
      <c r="J60" s="3" t="n">
        <v>0.7</v>
      </c>
      <c r="K60" s="3" t="n">
        <v>0.65</v>
      </c>
      <c r="L60" s="3" t="n">
        <v>594</v>
      </c>
      <c r="M60" s="3"/>
      <c r="R60" s="4"/>
      <c r="S60" s="6"/>
      <c r="T60" s="6"/>
      <c r="U60" s="6"/>
    </row>
    <row r="61" customFormat="false" ht="13.8" hidden="false" customHeight="false" outlineLevel="0" collapsed="false">
      <c r="A61" s="3" t="n">
        <v>0.79</v>
      </c>
      <c r="B61" s="3" t="n">
        <v>0.78</v>
      </c>
      <c r="C61" s="3" t="n">
        <v>0.78</v>
      </c>
      <c r="D61" s="3" t="n">
        <v>132120</v>
      </c>
      <c r="E61" s="3" t="s">
        <v>74</v>
      </c>
      <c r="H61" s="5" t="s">
        <v>75</v>
      </c>
      <c r="I61" s="3" t="n">
        <v>0.43</v>
      </c>
      <c r="J61" s="3" t="n">
        <v>0.56</v>
      </c>
      <c r="K61" s="3" t="n">
        <v>0.49</v>
      </c>
      <c r="L61" s="3" t="n">
        <v>938</v>
      </c>
      <c r="M61" s="3"/>
      <c r="R61" s="4"/>
      <c r="S61" s="6"/>
      <c r="T61" s="6"/>
      <c r="U61" s="6"/>
    </row>
    <row r="62" customFormat="false" ht="13.8" hidden="false" customHeight="false" outlineLevel="0" collapsed="false">
      <c r="A62" s="3" t="n">
        <v>0.79</v>
      </c>
      <c r="B62" s="3" t="n">
        <v>0.78</v>
      </c>
      <c r="C62" s="3" t="n">
        <v>0.78</v>
      </c>
      <c r="D62" s="3" t="n">
        <v>132120</v>
      </c>
      <c r="E62" s="3" t="s">
        <v>76</v>
      </c>
      <c r="H62" s="5" t="s">
        <v>77</v>
      </c>
      <c r="I62" s="3" t="n">
        <v>0.71</v>
      </c>
      <c r="J62" s="3" t="n">
        <v>0.7</v>
      </c>
      <c r="K62" s="3" t="n">
        <v>0.71</v>
      </c>
      <c r="L62" s="3" t="n">
        <v>4438</v>
      </c>
      <c r="M62" s="3"/>
      <c r="R62" s="4"/>
      <c r="S62" s="6"/>
      <c r="T62" s="6"/>
      <c r="U62" s="6"/>
    </row>
    <row r="63" customFormat="false" ht="13.8" hidden="false" customHeight="false" outlineLevel="0" collapsed="false">
      <c r="A63" s="3" t="n">
        <v>0.79</v>
      </c>
      <c r="B63" s="3" t="n">
        <v>0.78</v>
      </c>
      <c r="C63" s="3" t="n">
        <v>0.78</v>
      </c>
      <c r="D63" s="3" t="n">
        <v>132120</v>
      </c>
      <c r="E63" s="3" t="s">
        <v>78</v>
      </c>
      <c r="H63" s="5" t="s">
        <v>79</v>
      </c>
      <c r="I63" s="3" t="n">
        <v>0.74</v>
      </c>
      <c r="J63" s="3" t="n">
        <v>0.79</v>
      </c>
      <c r="K63" s="3" t="n">
        <v>0.76</v>
      </c>
      <c r="L63" s="3" t="n">
        <v>8700</v>
      </c>
      <c r="M63" s="3"/>
      <c r="R63" s="4"/>
      <c r="S63" s="6"/>
      <c r="T63" s="6"/>
      <c r="U63" s="6"/>
    </row>
    <row r="64" customFormat="false" ht="13.8" hidden="false" customHeight="false" outlineLevel="0" collapsed="false">
      <c r="A64" s="3" t="n">
        <v>0.79</v>
      </c>
      <c r="B64" s="3" t="n">
        <v>0.78</v>
      </c>
      <c r="C64" s="3" t="n">
        <v>0.78</v>
      </c>
      <c r="D64" s="3" t="n">
        <v>132120</v>
      </c>
      <c r="E64" s="3" t="s">
        <v>80</v>
      </c>
      <c r="H64" s="5" t="s">
        <v>81</v>
      </c>
      <c r="I64" s="3" t="n">
        <v>0.74</v>
      </c>
      <c r="J64" s="3" t="n">
        <v>0.81</v>
      </c>
      <c r="K64" s="3" t="n">
        <v>0.77</v>
      </c>
      <c r="L64" s="3" t="n">
        <v>6391</v>
      </c>
      <c r="M64" s="3"/>
      <c r="R64" s="4"/>
      <c r="S64" s="6"/>
      <c r="T64" s="6"/>
      <c r="U64" s="6"/>
    </row>
    <row r="65" customFormat="false" ht="13.8" hidden="false" customHeight="false" outlineLevel="0" collapsed="false">
      <c r="A65" s="3" t="n">
        <v>0.79</v>
      </c>
      <c r="B65" s="3" t="n">
        <v>0.78</v>
      </c>
      <c r="C65" s="3" t="n">
        <v>0.78</v>
      </c>
      <c r="D65" s="3" t="n">
        <v>132120</v>
      </c>
      <c r="E65" s="3" t="s">
        <v>82</v>
      </c>
      <c r="H65" s="5" t="s">
        <v>83</v>
      </c>
      <c r="I65" s="3" t="n">
        <v>0.77</v>
      </c>
      <c r="J65" s="3" t="n">
        <v>0.8</v>
      </c>
      <c r="K65" s="3" t="n">
        <v>0.78</v>
      </c>
      <c r="L65" s="3" t="n">
        <v>17385</v>
      </c>
      <c r="M65" s="3"/>
      <c r="R65" s="4"/>
      <c r="S65" s="6"/>
      <c r="T65" s="6"/>
      <c r="U65" s="6"/>
    </row>
    <row r="66" customFormat="false" ht="13.8" hidden="false" customHeight="false" outlineLevel="0" collapsed="false">
      <c r="A66" s="3" t="n">
        <v>0.79</v>
      </c>
      <c r="B66" s="3" t="n">
        <v>0.78</v>
      </c>
      <c r="C66" s="3" t="n">
        <v>0.78</v>
      </c>
      <c r="D66" s="3" t="n">
        <v>132120</v>
      </c>
      <c r="E66" s="3" t="s">
        <v>84</v>
      </c>
      <c r="H66" s="5" t="s">
        <v>85</v>
      </c>
      <c r="I66" s="3" t="n">
        <v>0.65</v>
      </c>
      <c r="J66" s="3" t="n">
        <v>0.75</v>
      </c>
      <c r="K66" s="3" t="n">
        <v>0.69</v>
      </c>
      <c r="L66" s="3" t="n">
        <v>855</v>
      </c>
      <c r="M66" s="3"/>
      <c r="R66" s="4"/>
      <c r="S66" s="6"/>
      <c r="T66" s="6"/>
      <c r="U66" s="6"/>
    </row>
    <row r="67" customFormat="false" ht="13.8" hidden="false" customHeight="false" outlineLevel="0" collapsed="false">
      <c r="A67" s="3" t="n">
        <v>0.79</v>
      </c>
      <c r="B67" s="3" t="n">
        <v>0.78</v>
      </c>
      <c r="C67" s="3" t="n">
        <v>0.78</v>
      </c>
      <c r="D67" s="3" t="n">
        <v>132120</v>
      </c>
      <c r="E67" s="3" t="s">
        <v>86</v>
      </c>
      <c r="S67" s="7"/>
      <c r="T67" s="7"/>
      <c r="U67" s="7"/>
      <c r="V67" s="8"/>
    </row>
    <row r="68" customFormat="false" ht="13.8" hidden="false" customHeight="false" outlineLevel="0" collapsed="false">
      <c r="A68" s="3" t="n">
        <v>0.79</v>
      </c>
      <c r="B68" s="3" t="n">
        <v>0.78</v>
      </c>
      <c r="C68" s="3" t="n">
        <v>0.78</v>
      </c>
      <c r="D68" s="3" t="n">
        <v>132120</v>
      </c>
      <c r="E68" s="3" t="s">
        <v>87</v>
      </c>
      <c r="H68" s="9" t="s">
        <v>88</v>
      </c>
      <c r="K68" s="3" t="n">
        <v>0.79</v>
      </c>
      <c r="L68" s="3" t="n">
        <v>132120</v>
      </c>
      <c r="M68" s="3"/>
    </row>
    <row r="69" customFormat="false" ht="13.8" hidden="false" customHeight="false" outlineLevel="0" collapsed="false">
      <c r="A69" s="3" t="n">
        <v>0.79</v>
      </c>
      <c r="B69" s="3" t="n">
        <v>0.78</v>
      </c>
      <c r="C69" s="3" t="n">
        <v>0.78</v>
      </c>
      <c r="D69" s="3" t="n">
        <v>132120</v>
      </c>
      <c r="E69" s="3" t="s">
        <v>89</v>
      </c>
      <c r="H69" s="9" t="s">
        <v>90</v>
      </c>
      <c r="I69" s="3" t="n">
        <v>0.7</v>
      </c>
      <c r="J69" s="3" t="n">
        <v>0.74</v>
      </c>
      <c r="K69" s="3" t="n">
        <v>0.72</v>
      </c>
      <c r="L69" s="3" t="n">
        <v>132120</v>
      </c>
    </row>
    <row r="70" customFormat="false" ht="13.8" hidden="false" customHeight="false" outlineLevel="0" collapsed="false">
      <c r="A70" s="3" t="n">
        <v>0.79</v>
      </c>
      <c r="B70" s="3" t="n">
        <v>0.78</v>
      </c>
      <c r="C70" s="3" t="n">
        <v>0.78</v>
      </c>
      <c r="D70" s="3" t="n">
        <v>132120</v>
      </c>
      <c r="E70" s="3" t="s">
        <v>91</v>
      </c>
      <c r="H70" s="9" t="s">
        <v>92</v>
      </c>
      <c r="I70" s="8" t="n">
        <v>0.79</v>
      </c>
      <c r="J70" s="8" t="n">
        <v>0.79</v>
      </c>
      <c r="K70" s="8" t="n">
        <v>0.79</v>
      </c>
      <c r="L70" s="3" t="n">
        <v>132120</v>
      </c>
    </row>
    <row r="71" customFormat="false" ht="13.8" hidden="false" customHeight="false" outlineLevel="0" collapsed="false">
      <c r="A71" s="3" t="n">
        <v>0.79</v>
      </c>
      <c r="B71" s="3" t="n">
        <v>0.78</v>
      </c>
      <c r="C71" s="3" t="n">
        <v>0.78</v>
      </c>
      <c r="D71" s="3" t="n">
        <v>132120</v>
      </c>
      <c r="E71" s="3" t="s">
        <v>93</v>
      </c>
    </row>
    <row r="72" customFormat="false" ht="13.8" hidden="false" customHeight="false" outlineLevel="0" collapsed="false">
      <c r="A72" s="3" t="n">
        <v>0.79</v>
      </c>
      <c r="B72" s="3" t="n">
        <v>0.78</v>
      </c>
      <c r="C72" s="3" t="n">
        <v>0.78</v>
      </c>
      <c r="D72" s="3" t="n">
        <v>132120</v>
      </c>
      <c r="E72" s="3" t="s">
        <v>94</v>
      </c>
    </row>
    <row r="73" customFormat="false" ht="13.8" hidden="false" customHeight="false" outlineLevel="0" collapsed="false">
      <c r="A73" s="9" t="n">
        <v>0.79</v>
      </c>
      <c r="B73" s="9" t="n">
        <v>0.79</v>
      </c>
      <c r="C73" s="9" t="n">
        <v>0.79</v>
      </c>
      <c r="D73" s="9" t="n">
        <v>132120</v>
      </c>
      <c r="E73" s="9" t="s">
        <v>95</v>
      </c>
      <c r="F73" s="10"/>
    </row>
    <row r="74" customFormat="false" ht="13.8" hidden="false" customHeight="false" outlineLevel="0" collapsed="false">
      <c r="A74" s="3" t="n">
        <v>0.79</v>
      </c>
      <c r="B74" s="3" t="n">
        <v>0.79</v>
      </c>
      <c r="C74" s="3" t="n">
        <v>0.79</v>
      </c>
      <c r="D74" s="3" t="n">
        <v>132120</v>
      </c>
      <c r="E74" s="3" t="s">
        <v>96</v>
      </c>
    </row>
    <row r="75" customFormat="false" ht="13.8" hidden="false" customHeight="false" outlineLevel="0" collapsed="false">
      <c r="A75" s="3" t="n">
        <v>0.79</v>
      </c>
      <c r="B75" s="3" t="n">
        <v>0.79</v>
      </c>
      <c r="C75" s="3" t="n">
        <v>0.79</v>
      </c>
      <c r="D75" s="3" t="n">
        <v>132120</v>
      </c>
      <c r="E75" s="3" t="s">
        <v>97</v>
      </c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11.53515625" defaultRowHeight="15.75" zeroHeight="false" outlineLevelRow="0" outlineLevelCol="0"/>
  <cols>
    <col collapsed="false" customWidth="true" hidden="false" outlineLevel="0" max="1024" min="1" style="0" width="12.64"/>
  </cols>
  <sheetData>
    <row r="1" customFormat="false" ht="13.8" hidden="false" customHeight="false" outlineLevel="0" collapsed="false">
      <c r="A1" s="11" t="s">
        <v>98</v>
      </c>
      <c r="B1" s="11"/>
      <c r="C1" s="11"/>
      <c r="D1" s="4" t="s">
        <v>99</v>
      </c>
      <c r="E1" s="12" t="s">
        <v>100</v>
      </c>
      <c r="F1" s="12" t="s">
        <v>101</v>
      </c>
      <c r="G1" s="12" t="s">
        <v>102</v>
      </c>
      <c r="H1" s="12"/>
      <c r="I1" s="12" t="s">
        <v>100</v>
      </c>
      <c r="J1" s="12" t="s">
        <v>103</v>
      </c>
    </row>
    <row r="2" customFormat="false" ht="13.8" hidden="false" customHeight="false" outlineLevel="0" collapsed="false">
      <c r="A2" s="3" t="s">
        <v>104</v>
      </c>
      <c r="B2" s="3" t="s">
        <v>105</v>
      </c>
      <c r="C2" s="3" t="s">
        <v>61</v>
      </c>
      <c r="D2" s="3" t="s">
        <v>61</v>
      </c>
      <c r="E2" s="3" t="s">
        <v>105</v>
      </c>
      <c r="F2" s="3" t="s">
        <v>61</v>
      </c>
      <c r="G2" s="3" t="n">
        <v>1</v>
      </c>
      <c r="I2" s="13" t="n">
        <f aca="false">IF(E2=B2,1,0)</f>
        <v>1</v>
      </c>
      <c r="J2" s="13" t="n">
        <f aca="false">IF(F2=D2,1,0)</f>
        <v>1</v>
      </c>
      <c r="L2" s="13" t="n">
        <f aca="false">COUNT(J2:J62)</f>
        <v>61</v>
      </c>
      <c r="M2" s="14" t="s">
        <v>106</v>
      </c>
      <c r="O2" s="15"/>
      <c r="P2" s="16" t="s">
        <v>107</v>
      </c>
      <c r="Q2" s="17"/>
      <c r="R2" s="8" t="s">
        <v>108</v>
      </c>
    </row>
    <row r="3" customFormat="false" ht="13.8" hidden="false" customHeight="false" outlineLevel="0" collapsed="false">
      <c r="A3" s="3" t="s">
        <v>109</v>
      </c>
      <c r="B3" s="3" t="s">
        <v>105</v>
      </c>
      <c r="C3" s="3" t="s">
        <v>61</v>
      </c>
      <c r="D3" s="3" t="s">
        <v>61</v>
      </c>
      <c r="E3" s="3" t="s">
        <v>105</v>
      </c>
      <c r="F3" s="3" t="s">
        <v>61</v>
      </c>
      <c r="G3" s="3" t="n">
        <v>1</v>
      </c>
      <c r="I3" s="13" t="n">
        <f aca="false">IF(E3=B3,1,0)</f>
        <v>1</v>
      </c>
      <c r="J3" s="13" t="n">
        <f aca="false">IF(F3=D3,1,0)</f>
        <v>1</v>
      </c>
      <c r="L3" s="13" t="n">
        <f aca="false">SUM(J2:J62)</f>
        <v>50</v>
      </c>
      <c r="M3" s="14" t="s">
        <v>110</v>
      </c>
      <c r="P3" s="18" t="n">
        <f aca="false">AVERAGE(I2:I62)</f>
        <v>0.868852459</v>
      </c>
      <c r="Q3" s="3" t="s">
        <v>111</v>
      </c>
      <c r="R3" s="18" t="n">
        <f aca="false">COUNT(I$2:I$76)/COUNTA($A$2:$A$76)</f>
        <v>0.8243243243</v>
      </c>
    </row>
    <row r="4" customFormat="false" ht="13.8" hidden="false" customHeight="false" outlineLevel="0" collapsed="false">
      <c r="A4" s="3" t="s">
        <v>112</v>
      </c>
      <c r="B4" s="3" t="s">
        <v>105</v>
      </c>
      <c r="C4" s="3" t="s">
        <v>61</v>
      </c>
      <c r="D4" s="3" t="s">
        <v>61</v>
      </c>
      <c r="E4" s="3" t="s">
        <v>105</v>
      </c>
      <c r="F4" s="3" t="s">
        <v>61</v>
      </c>
      <c r="G4" s="3" t="n">
        <v>1</v>
      </c>
      <c r="I4" s="13" t="n">
        <f aca="false">IF(E4=B4,1,0)</f>
        <v>1</v>
      </c>
      <c r="J4" s="13" t="n">
        <f aca="false">IF(F4=D4,1,0)</f>
        <v>1</v>
      </c>
      <c r="L4" s="18" t="n">
        <f aca="false">L3/L2</f>
        <v>0.8196721311</v>
      </c>
      <c r="M4" s="14" t="s">
        <v>113</v>
      </c>
      <c r="P4" s="18" t="n">
        <f aca="false">AVERAGE(J2:J62)</f>
        <v>0.8196721311</v>
      </c>
      <c r="Q4" s="3" t="s">
        <v>114</v>
      </c>
      <c r="R4" s="18" t="n">
        <f aca="false">COUNT(J$2:J$76)/COUNTA($A$2:$A$76)</f>
        <v>0.8243243243</v>
      </c>
    </row>
    <row r="5" customFormat="false" ht="13.8" hidden="false" customHeight="false" outlineLevel="0" collapsed="false">
      <c r="A5" s="3" t="s">
        <v>115</v>
      </c>
      <c r="B5" s="3" t="s">
        <v>105</v>
      </c>
      <c r="C5" s="3" t="s">
        <v>55</v>
      </c>
      <c r="D5" s="3" t="s">
        <v>55</v>
      </c>
      <c r="E5" s="3" t="s">
        <v>105</v>
      </c>
      <c r="F5" s="3" t="s">
        <v>55</v>
      </c>
      <c r="G5" s="3" t="n">
        <v>1</v>
      </c>
      <c r="I5" s="13" t="n">
        <f aca="false">IF(E5=B5,1,0)</f>
        <v>1</v>
      </c>
      <c r="J5" s="13" t="n">
        <f aca="false">IF(F5=D5,1,0)</f>
        <v>1</v>
      </c>
    </row>
    <row r="6" customFormat="false" ht="13.8" hidden="false" customHeight="false" outlineLevel="0" collapsed="false">
      <c r="A6" s="3" t="s">
        <v>116</v>
      </c>
      <c r="B6" s="3" t="s">
        <v>105</v>
      </c>
      <c r="C6" s="3" t="s">
        <v>55</v>
      </c>
      <c r="D6" s="3" t="s">
        <v>55</v>
      </c>
      <c r="E6" s="3" t="s">
        <v>105</v>
      </c>
      <c r="F6" s="3" t="s">
        <v>55</v>
      </c>
      <c r="G6" s="3" t="n">
        <v>1</v>
      </c>
      <c r="I6" s="13" t="n">
        <f aca="false">IF(E6=B6,1,0)</f>
        <v>1</v>
      </c>
      <c r="J6" s="13" t="n">
        <f aca="false">IF(F6=D6,1,0)</f>
        <v>1</v>
      </c>
      <c r="L6" s="13" t="n">
        <f aca="false">COUNT(J2:J58)</f>
        <v>57</v>
      </c>
      <c r="M6" s="14" t="s">
        <v>117</v>
      </c>
      <c r="P6" s="18" t="n">
        <f aca="false">AVERAGE(I2:I58)</f>
        <v>0.8771929825</v>
      </c>
      <c r="Q6" s="3" t="s">
        <v>111</v>
      </c>
      <c r="R6" s="18" t="n">
        <f aca="false">COUNT(I$2:I$58)/COUNTA($A$2:$A$76)</f>
        <v>0.7702702703</v>
      </c>
    </row>
    <row r="7" customFormat="false" ht="13.8" hidden="false" customHeight="false" outlineLevel="0" collapsed="false">
      <c r="A7" s="3" t="s">
        <v>118</v>
      </c>
      <c r="B7" s="3" t="s">
        <v>105</v>
      </c>
      <c r="C7" s="3" t="s">
        <v>55</v>
      </c>
      <c r="D7" s="3" t="s">
        <v>55</v>
      </c>
      <c r="E7" s="3" t="s">
        <v>105</v>
      </c>
      <c r="F7" s="3" t="s">
        <v>55</v>
      </c>
      <c r="G7" s="3" t="n">
        <v>1</v>
      </c>
      <c r="I7" s="13" t="n">
        <f aca="false">IF(E7=B7,1,0)</f>
        <v>1</v>
      </c>
      <c r="J7" s="13" t="n">
        <f aca="false">IF(F7=D7,1,0)</f>
        <v>1</v>
      </c>
      <c r="L7" s="13" t="n">
        <f aca="false">SUM(J2:J58)</f>
        <v>48</v>
      </c>
      <c r="M7" s="14" t="s">
        <v>110</v>
      </c>
      <c r="P7" s="18" t="n">
        <f aca="false">AVERAGE(J2:J58)</f>
        <v>0.8421052632</v>
      </c>
      <c r="Q7" s="3" t="s">
        <v>114</v>
      </c>
      <c r="R7" s="18" t="n">
        <f aca="false">COUNT(J$2:J$58)/COUNTA($A$2:$A$76)</f>
        <v>0.7702702703</v>
      </c>
    </row>
    <row r="8" customFormat="false" ht="13.8" hidden="false" customHeight="false" outlineLevel="0" collapsed="false">
      <c r="A8" s="3" t="s">
        <v>119</v>
      </c>
      <c r="B8" s="3" t="s">
        <v>105</v>
      </c>
      <c r="C8" s="3" t="s">
        <v>55</v>
      </c>
      <c r="D8" s="3" t="s">
        <v>55</v>
      </c>
      <c r="E8" s="3" t="s">
        <v>105</v>
      </c>
      <c r="F8" s="3" t="s">
        <v>55</v>
      </c>
      <c r="G8" s="3" t="n">
        <v>0.999</v>
      </c>
      <c r="I8" s="13" t="n">
        <f aca="false">IF(E8=B8,1,0)</f>
        <v>1</v>
      </c>
      <c r="J8" s="13" t="n">
        <f aca="false">IF(F8=D8,1,0)</f>
        <v>1</v>
      </c>
      <c r="L8" s="18" t="n">
        <f aca="false">L7/L6</f>
        <v>0.8421052632</v>
      </c>
      <c r="M8" s="14" t="s">
        <v>113</v>
      </c>
    </row>
    <row r="9" customFormat="false" ht="13.8" hidden="false" customHeight="false" outlineLevel="0" collapsed="false">
      <c r="A9" s="3" t="s">
        <v>120</v>
      </c>
      <c r="B9" s="3" t="s">
        <v>105</v>
      </c>
      <c r="C9" s="3" t="s">
        <v>61</v>
      </c>
      <c r="D9" s="3" t="s">
        <v>61</v>
      </c>
      <c r="E9" s="3" t="s">
        <v>105</v>
      </c>
      <c r="F9" s="3" t="s">
        <v>61</v>
      </c>
      <c r="G9" s="3" t="n">
        <v>0.999</v>
      </c>
      <c r="I9" s="13" t="n">
        <f aca="false">IF(E9=B9,1,0)</f>
        <v>1</v>
      </c>
      <c r="J9" s="13" t="n">
        <f aca="false">IF(F9=D9,1,0)</f>
        <v>1</v>
      </c>
    </row>
    <row r="10" customFormat="false" ht="13.8" hidden="false" customHeight="false" outlineLevel="0" collapsed="false">
      <c r="A10" s="3" t="s">
        <v>121</v>
      </c>
      <c r="B10" s="3" t="s">
        <v>105</v>
      </c>
      <c r="C10" s="3" t="s">
        <v>55</v>
      </c>
      <c r="D10" s="3" t="s">
        <v>55</v>
      </c>
      <c r="E10" s="3" t="s">
        <v>105</v>
      </c>
      <c r="F10" s="3" t="s">
        <v>55</v>
      </c>
      <c r="G10" s="3" t="n">
        <v>0.999</v>
      </c>
      <c r="I10" s="13" t="n">
        <f aca="false">IF(E10=B10,1,0)</f>
        <v>1</v>
      </c>
      <c r="J10" s="13" t="n">
        <f aca="false">IF(F10=D10,1,0)</f>
        <v>1</v>
      </c>
      <c r="M10" s="14"/>
      <c r="P10" s="18"/>
      <c r="R10" s="18"/>
    </row>
    <row r="11" customFormat="false" ht="13.8" hidden="false" customHeight="false" outlineLevel="0" collapsed="false">
      <c r="A11" s="3" t="s">
        <v>122</v>
      </c>
      <c r="B11" s="3" t="s">
        <v>105</v>
      </c>
      <c r="C11" s="3" t="s">
        <v>61</v>
      </c>
      <c r="D11" s="3" t="s">
        <v>61</v>
      </c>
      <c r="E11" s="3" t="s">
        <v>105</v>
      </c>
      <c r="F11" s="3" t="s">
        <v>61</v>
      </c>
      <c r="G11" s="3" t="n">
        <v>0.998</v>
      </c>
      <c r="I11" s="13" t="n">
        <f aca="false">IF(E11=B11,1,0)</f>
        <v>1</v>
      </c>
      <c r="J11" s="13" t="n">
        <f aca="false">IF(F11=D11,1,0)</f>
        <v>1</v>
      </c>
      <c r="M11" s="14"/>
      <c r="P11" s="18"/>
      <c r="R11" s="18"/>
    </row>
    <row r="12" customFormat="false" ht="13.8" hidden="false" customHeight="false" outlineLevel="0" collapsed="false">
      <c r="A12" s="3" t="s">
        <v>123</v>
      </c>
      <c r="B12" s="3" t="s">
        <v>105</v>
      </c>
      <c r="C12" s="3" t="s">
        <v>61</v>
      </c>
      <c r="D12" s="3" t="s">
        <v>61</v>
      </c>
      <c r="E12" s="3" t="s">
        <v>105</v>
      </c>
      <c r="F12" s="3" t="s">
        <v>61</v>
      </c>
      <c r="G12" s="3" t="n">
        <v>0.998</v>
      </c>
      <c r="I12" s="13" t="n">
        <f aca="false">IF(E12=B12,1,0)</f>
        <v>1</v>
      </c>
      <c r="J12" s="13" t="n">
        <f aca="false">IF(F12=D12,1,0)</f>
        <v>1</v>
      </c>
      <c r="L12" s="18"/>
      <c r="M12" s="14"/>
    </row>
    <row r="13" customFormat="false" ht="13.8" hidden="false" customHeight="false" outlineLevel="0" collapsed="false">
      <c r="A13" s="3" t="s">
        <v>124</v>
      </c>
      <c r="B13" s="3" t="s">
        <v>105</v>
      </c>
      <c r="C13" s="3" t="s">
        <v>55</v>
      </c>
      <c r="D13" s="3" t="s">
        <v>55</v>
      </c>
      <c r="E13" s="3" t="s">
        <v>105</v>
      </c>
      <c r="F13" s="3" t="s">
        <v>55</v>
      </c>
      <c r="G13" s="3" t="n">
        <v>0.998</v>
      </c>
      <c r="I13" s="13" t="n">
        <f aca="false">IF(E13=B13,1,0)</f>
        <v>1</v>
      </c>
      <c r="J13" s="13" t="n">
        <f aca="false">IF(F13=D13,1,0)</f>
        <v>1</v>
      </c>
    </row>
    <row r="14" customFormat="false" ht="13.8" hidden="false" customHeight="false" outlineLevel="0" collapsed="false">
      <c r="A14" s="3" t="s">
        <v>125</v>
      </c>
      <c r="B14" s="3" t="s">
        <v>105</v>
      </c>
      <c r="C14" s="3" t="s">
        <v>55</v>
      </c>
      <c r="D14" s="3" t="s">
        <v>55</v>
      </c>
      <c r="E14" s="3" t="s">
        <v>105</v>
      </c>
      <c r="F14" s="3" t="s">
        <v>55</v>
      </c>
      <c r="G14" s="3" t="n">
        <v>0.997</v>
      </c>
      <c r="I14" s="13" t="n">
        <f aca="false">IF(E14=B14,1,0)</f>
        <v>1</v>
      </c>
      <c r="J14" s="13" t="n">
        <f aca="false">IF(F14=D14,1,0)</f>
        <v>1</v>
      </c>
    </row>
    <row r="15" customFormat="false" ht="13.8" hidden="false" customHeight="false" outlineLevel="0" collapsed="false">
      <c r="A15" s="3" t="s">
        <v>126</v>
      </c>
      <c r="B15" s="3" t="s">
        <v>105</v>
      </c>
      <c r="C15" s="3" t="s">
        <v>61</v>
      </c>
      <c r="D15" s="3" t="s">
        <v>61</v>
      </c>
      <c r="E15" s="3" t="s">
        <v>105</v>
      </c>
      <c r="F15" s="3" t="s">
        <v>61</v>
      </c>
      <c r="G15" s="3" t="n">
        <v>0.997</v>
      </c>
      <c r="I15" s="13" t="n">
        <f aca="false">IF(E15=B15,1,0)</f>
        <v>1</v>
      </c>
      <c r="J15" s="13" t="n">
        <f aca="false">IF(F15=D15,1,0)</f>
        <v>1</v>
      </c>
    </row>
    <row r="16" customFormat="false" ht="13.8" hidden="false" customHeight="false" outlineLevel="0" collapsed="false">
      <c r="A16" s="3" t="s">
        <v>127</v>
      </c>
      <c r="B16" s="3" t="s">
        <v>105</v>
      </c>
      <c r="C16" s="3" t="s">
        <v>61</v>
      </c>
      <c r="D16" s="3" t="s">
        <v>61</v>
      </c>
      <c r="E16" s="3" t="s">
        <v>105</v>
      </c>
      <c r="F16" s="3" t="s">
        <v>61</v>
      </c>
      <c r="G16" s="3" t="n">
        <v>0.996</v>
      </c>
      <c r="I16" s="13" t="n">
        <f aca="false">IF(E16=B16,1,0)</f>
        <v>1</v>
      </c>
      <c r="J16" s="13" t="n">
        <f aca="false">IF(F16=D16,1,0)</f>
        <v>1</v>
      </c>
    </row>
    <row r="17" customFormat="false" ht="13.8" hidden="false" customHeight="false" outlineLevel="0" collapsed="false">
      <c r="A17" s="3" t="s">
        <v>128</v>
      </c>
      <c r="B17" s="3" t="s">
        <v>105</v>
      </c>
      <c r="C17" s="3" t="s">
        <v>55</v>
      </c>
      <c r="D17" s="3" t="s">
        <v>55</v>
      </c>
      <c r="E17" s="3" t="s">
        <v>105</v>
      </c>
      <c r="F17" s="3" t="s">
        <v>55</v>
      </c>
      <c r="G17" s="3" t="n">
        <v>0.996</v>
      </c>
      <c r="I17" s="13" t="n">
        <f aca="false">IF(E17=B17,1,0)</f>
        <v>1</v>
      </c>
      <c r="J17" s="13" t="n">
        <f aca="false">IF(F17=D17,1,0)</f>
        <v>1</v>
      </c>
    </row>
    <row r="18" customFormat="false" ht="13.8" hidden="false" customHeight="false" outlineLevel="0" collapsed="false">
      <c r="A18" s="3" t="s">
        <v>129</v>
      </c>
      <c r="B18" s="3" t="s">
        <v>105</v>
      </c>
      <c r="C18" s="3" t="s">
        <v>61</v>
      </c>
      <c r="D18" s="3" t="s">
        <v>61</v>
      </c>
      <c r="E18" s="3" t="s">
        <v>105</v>
      </c>
      <c r="F18" s="3" t="s">
        <v>61</v>
      </c>
      <c r="G18" s="3" t="n">
        <v>0.996</v>
      </c>
      <c r="I18" s="13" t="n">
        <f aca="false">IF(E18=B18,1,0)</f>
        <v>1</v>
      </c>
      <c r="J18" s="13" t="n">
        <f aca="false">IF(F18=D18,1,0)</f>
        <v>1</v>
      </c>
    </row>
    <row r="19" customFormat="false" ht="13.8" hidden="false" customHeight="false" outlineLevel="0" collapsed="false">
      <c r="A19" s="3" t="s">
        <v>130</v>
      </c>
      <c r="B19" s="3" t="s">
        <v>105</v>
      </c>
      <c r="C19" s="3" t="s">
        <v>61</v>
      </c>
      <c r="D19" s="3" t="s">
        <v>61</v>
      </c>
      <c r="E19" s="3" t="s">
        <v>105</v>
      </c>
      <c r="F19" s="3" t="s">
        <v>61</v>
      </c>
      <c r="G19" s="3" t="n">
        <v>0.996</v>
      </c>
      <c r="I19" s="13" t="n">
        <f aca="false">IF(E19=B19,1,0)</f>
        <v>1</v>
      </c>
      <c r="J19" s="13" t="n">
        <f aca="false">IF(F19=D19,1,0)</f>
        <v>1</v>
      </c>
    </row>
    <row r="20" customFormat="false" ht="13.8" hidden="false" customHeight="false" outlineLevel="0" collapsed="false">
      <c r="A20" s="3" t="s">
        <v>131</v>
      </c>
      <c r="B20" s="3" t="s">
        <v>105</v>
      </c>
      <c r="C20" s="3" t="s">
        <v>61</v>
      </c>
      <c r="D20" s="3" t="s">
        <v>61</v>
      </c>
      <c r="E20" s="3" t="s">
        <v>105</v>
      </c>
      <c r="F20" s="3" t="s">
        <v>59</v>
      </c>
      <c r="G20" s="3" t="n">
        <v>0.995</v>
      </c>
      <c r="I20" s="13" t="n">
        <f aca="false">IF(E20=B20,1,0)</f>
        <v>1</v>
      </c>
      <c r="J20" s="13" t="n">
        <f aca="false">IF(F20=D20,1,0)</f>
        <v>0</v>
      </c>
    </row>
    <row r="21" customFormat="false" ht="13.8" hidden="false" customHeight="false" outlineLevel="0" collapsed="false">
      <c r="A21" s="3" t="s">
        <v>132</v>
      </c>
      <c r="B21" s="3" t="s">
        <v>133</v>
      </c>
      <c r="C21" s="3" t="s">
        <v>65</v>
      </c>
      <c r="D21" s="3" t="s">
        <v>65</v>
      </c>
      <c r="E21" s="3" t="s">
        <v>133</v>
      </c>
      <c r="F21" s="3" t="s">
        <v>65</v>
      </c>
      <c r="G21" s="3" t="n">
        <v>0.993</v>
      </c>
      <c r="I21" s="13" t="n">
        <f aca="false">IF(E21=B21,1,0)</f>
        <v>1</v>
      </c>
      <c r="J21" s="13" t="n">
        <f aca="false">IF(F21=D21,1,0)</f>
        <v>1</v>
      </c>
    </row>
    <row r="22" customFormat="false" ht="13.8" hidden="false" customHeight="false" outlineLevel="0" collapsed="false">
      <c r="A22" s="3" t="s">
        <v>134</v>
      </c>
      <c r="B22" s="3" t="s">
        <v>105</v>
      </c>
      <c r="C22" s="3" t="s">
        <v>61</v>
      </c>
      <c r="D22" s="3" t="s">
        <v>61</v>
      </c>
      <c r="E22" s="3" t="s">
        <v>105</v>
      </c>
      <c r="F22" s="3" t="s">
        <v>61</v>
      </c>
      <c r="G22" s="3" t="n">
        <v>0.991</v>
      </c>
      <c r="I22" s="13" t="n">
        <f aca="false">IF(E22=B22,1,0)</f>
        <v>1</v>
      </c>
      <c r="J22" s="13" t="n">
        <f aca="false">IF(F22=D22,1,0)</f>
        <v>1</v>
      </c>
    </row>
    <row r="23" customFormat="false" ht="13.8" hidden="false" customHeight="false" outlineLevel="0" collapsed="false">
      <c r="A23" s="3" t="s">
        <v>135</v>
      </c>
      <c r="B23" s="3" t="s">
        <v>105</v>
      </c>
      <c r="C23" s="3" t="s">
        <v>55</v>
      </c>
      <c r="D23" s="3" t="s">
        <v>55</v>
      </c>
      <c r="E23" s="3" t="s">
        <v>105</v>
      </c>
      <c r="F23" s="3" t="s">
        <v>55</v>
      </c>
      <c r="G23" s="3" t="n">
        <v>0.991</v>
      </c>
      <c r="I23" s="13" t="n">
        <f aca="false">IF(E23=B23,1,0)</f>
        <v>1</v>
      </c>
      <c r="J23" s="13" t="n">
        <f aca="false">IF(F23=D23,1,0)</f>
        <v>1</v>
      </c>
    </row>
    <row r="24" customFormat="false" ht="13.8" hidden="false" customHeight="false" outlineLevel="0" collapsed="false">
      <c r="A24" s="3" t="s">
        <v>136</v>
      </c>
      <c r="B24" s="3" t="s">
        <v>105</v>
      </c>
      <c r="C24" s="3" t="s">
        <v>55</v>
      </c>
      <c r="D24" s="3" t="s">
        <v>55</v>
      </c>
      <c r="E24" s="3" t="s">
        <v>105</v>
      </c>
      <c r="F24" s="3" t="s">
        <v>55</v>
      </c>
      <c r="G24" s="3" t="n">
        <v>0.989</v>
      </c>
      <c r="I24" s="13" t="n">
        <f aca="false">IF(E24=B24,1,0)</f>
        <v>1</v>
      </c>
      <c r="J24" s="13" t="n">
        <f aca="false">IF(F24=D24,1,0)</f>
        <v>1</v>
      </c>
    </row>
    <row r="25" customFormat="false" ht="13.8" hidden="false" customHeight="false" outlineLevel="0" collapsed="false">
      <c r="A25" s="3" t="s">
        <v>137</v>
      </c>
      <c r="B25" s="3" t="s">
        <v>105</v>
      </c>
      <c r="C25" s="3" t="s">
        <v>55</v>
      </c>
      <c r="D25" s="3" t="s">
        <v>55</v>
      </c>
      <c r="E25" s="3" t="s">
        <v>105</v>
      </c>
      <c r="F25" s="3" t="s">
        <v>55</v>
      </c>
      <c r="G25" s="3" t="n">
        <v>0.988</v>
      </c>
      <c r="I25" s="13" t="n">
        <f aca="false">IF(E25=B25,1,0)</f>
        <v>1</v>
      </c>
      <c r="J25" s="13" t="n">
        <f aca="false">IF(F25=D25,1,0)</f>
        <v>1</v>
      </c>
    </row>
    <row r="26" customFormat="false" ht="13.8" hidden="false" customHeight="false" outlineLevel="0" collapsed="false">
      <c r="A26" s="3" t="s">
        <v>138</v>
      </c>
      <c r="B26" s="3" t="s">
        <v>105</v>
      </c>
      <c r="C26" s="3" t="s">
        <v>61</v>
      </c>
      <c r="D26" s="3" t="s">
        <v>61</v>
      </c>
      <c r="E26" s="3" t="s">
        <v>105</v>
      </c>
      <c r="F26" s="3" t="s">
        <v>61</v>
      </c>
      <c r="G26" s="3" t="n">
        <v>0.986</v>
      </c>
      <c r="I26" s="13" t="n">
        <f aca="false">IF(E26=B26,1,0)</f>
        <v>1</v>
      </c>
      <c r="J26" s="13" t="n">
        <f aca="false">IF(F26=D26,1,0)</f>
        <v>1</v>
      </c>
    </row>
    <row r="27" customFormat="false" ht="13.8" hidden="false" customHeight="false" outlineLevel="0" collapsed="false">
      <c r="A27" s="3" t="s">
        <v>139</v>
      </c>
      <c r="B27" s="3" t="s">
        <v>105</v>
      </c>
      <c r="C27" s="3" t="s">
        <v>55</v>
      </c>
      <c r="D27" s="3" t="s">
        <v>55</v>
      </c>
      <c r="E27" s="3" t="s">
        <v>105</v>
      </c>
      <c r="F27" s="3" t="s">
        <v>55</v>
      </c>
      <c r="G27" s="3" t="n">
        <v>0.986</v>
      </c>
      <c r="I27" s="13" t="n">
        <f aca="false">IF(E27=B27,1,0)</f>
        <v>1</v>
      </c>
      <c r="J27" s="13" t="n">
        <f aca="false">IF(F27=D27,1,0)</f>
        <v>1</v>
      </c>
    </row>
    <row r="28" customFormat="false" ht="13.8" hidden="false" customHeight="false" outlineLevel="0" collapsed="false">
      <c r="A28" s="3" t="s">
        <v>140</v>
      </c>
      <c r="B28" s="3" t="s">
        <v>105</v>
      </c>
      <c r="C28" s="3" t="s">
        <v>61</v>
      </c>
      <c r="D28" s="3" t="s">
        <v>61</v>
      </c>
      <c r="E28" s="3" t="s">
        <v>105</v>
      </c>
      <c r="F28" s="3" t="s">
        <v>61</v>
      </c>
      <c r="G28" s="3" t="n">
        <v>0.986</v>
      </c>
      <c r="I28" s="13" t="n">
        <f aca="false">IF(E28=B28,1,0)</f>
        <v>1</v>
      </c>
      <c r="J28" s="13" t="n">
        <f aca="false">IF(F28=D28,1,0)</f>
        <v>1</v>
      </c>
    </row>
    <row r="29" customFormat="false" ht="13.8" hidden="false" customHeight="false" outlineLevel="0" collapsed="false">
      <c r="A29" s="3" t="s">
        <v>141</v>
      </c>
      <c r="B29" s="3" t="s">
        <v>105</v>
      </c>
      <c r="C29" s="3" t="s">
        <v>55</v>
      </c>
      <c r="D29" s="3" t="s">
        <v>55</v>
      </c>
      <c r="E29" s="3" t="s">
        <v>105</v>
      </c>
      <c r="F29" s="3" t="s">
        <v>55</v>
      </c>
      <c r="G29" s="3" t="n">
        <v>0.986</v>
      </c>
      <c r="I29" s="13" t="n">
        <f aca="false">IF(E29=B29,1,0)</f>
        <v>1</v>
      </c>
      <c r="J29" s="13" t="n">
        <f aca="false">IF(F29=D29,1,0)</f>
        <v>1</v>
      </c>
    </row>
    <row r="30" customFormat="false" ht="13.8" hidden="false" customHeight="false" outlineLevel="0" collapsed="false">
      <c r="A30" s="3" t="s">
        <v>142</v>
      </c>
      <c r="B30" s="3" t="s">
        <v>105</v>
      </c>
      <c r="C30" s="3" t="s">
        <v>61</v>
      </c>
      <c r="D30" s="3" t="s">
        <v>61</v>
      </c>
      <c r="E30" s="3" t="s">
        <v>143</v>
      </c>
      <c r="F30" s="3" t="s">
        <v>67</v>
      </c>
      <c r="G30" s="3" t="n">
        <v>0.984</v>
      </c>
      <c r="I30" s="13" t="n">
        <f aca="false">IF(E30=B30,1,0)</f>
        <v>0</v>
      </c>
      <c r="J30" s="13" t="n">
        <f aca="false">IF(F30=D30,1,0)</f>
        <v>0</v>
      </c>
    </row>
    <row r="31" customFormat="false" ht="13.8" hidden="false" customHeight="false" outlineLevel="0" collapsed="false">
      <c r="A31" s="3" t="s">
        <v>144</v>
      </c>
      <c r="B31" s="3" t="s">
        <v>105</v>
      </c>
      <c r="C31" s="3" t="s">
        <v>61</v>
      </c>
      <c r="D31" s="3" t="s">
        <v>61</v>
      </c>
      <c r="E31" s="3" t="s">
        <v>105</v>
      </c>
      <c r="F31" s="3" t="s">
        <v>61</v>
      </c>
      <c r="G31" s="3" t="n">
        <v>0.983</v>
      </c>
      <c r="I31" s="13" t="n">
        <f aca="false">IF(E31=B31,1,0)</f>
        <v>1</v>
      </c>
      <c r="J31" s="13" t="n">
        <f aca="false">IF(F31=D31,1,0)</f>
        <v>1</v>
      </c>
    </row>
    <row r="32" customFormat="false" ht="13.8" hidden="false" customHeight="false" outlineLevel="0" collapsed="false">
      <c r="A32" s="3" t="s">
        <v>145</v>
      </c>
      <c r="B32" s="3" t="s">
        <v>105</v>
      </c>
      <c r="C32" s="3" t="s">
        <v>61</v>
      </c>
      <c r="D32" s="3" t="s">
        <v>61</v>
      </c>
      <c r="E32" s="3" t="s">
        <v>105</v>
      </c>
      <c r="F32" s="3" t="s">
        <v>61</v>
      </c>
      <c r="G32" s="3" t="n">
        <v>0.982</v>
      </c>
      <c r="I32" s="13" t="n">
        <f aca="false">IF(E32=B32,1,0)</f>
        <v>1</v>
      </c>
      <c r="J32" s="13" t="n">
        <f aca="false">IF(F32=D32,1,0)</f>
        <v>1</v>
      </c>
    </row>
    <row r="33" customFormat="false" ht="13.8" hidden="false" customHeight="false" outlineLevel="0" collapsed="false">
      <c r="A33" s="3" t="s">
        <v>146</v>
      </c>
      <c r="B33" s="3" t="s">
        <v>105</v>
      </c>
      <c r="C33" s="3" t="s">
        <v>61</v>
      </c>
      <c r="D33" s="3" t="s">
        <v>61</v>
      </c>
      <c r="E33" s="3" t="s">
        <v>105</v>
      </c>
      <c r="F33" s="3" t="s">
        <v>61</v>
      </c>
      <c r="G33" s="3" t="n">
        <v>0.979</v>
      </c>
      <c r="I33" s="13" t="n">
        <f aca="false">IF(E33=B33,1,0)</f>
        <v>1</v>
      </c>
      <c r="J33" s="13" t="n">
        <f aca="false">IF(F33=D33,1,0)</f>
        <v>1</v>
      </c>
    </row>
    <row r="34" customFormat="false" ht="13.8" hidden="false" customHeight="false" outlineLevel="0" collapsed="false">
      <c r="A34" s="3" t="s">
        <v>147</v>
      </c>
      <c r="B34" s="3" t="s">
        <v>105</v>
      </c>
      <c r="C34" s="3" t="s">
        <v>61</v>
      </c>
      <c r="D34" s="3" t="s">
        <v>61</v>
      </c>
      <c r="E34" s="3" t="s">
        <v>105</v>
      </c>
      <c r="F34" s="3" t="s">
        <v>61</v>
      </c>
      <c r="G34" s="3" t="n">
        <v>0.975</v>
      </c>
      <c r="I34" s="13" t="n">
        <f aca="false">IF(E34=B34,1,0)</f>
        <v>1</v>
      </c>
      <c r="J34" s="13" t="n">
        <f aca="false">IF(F34=D34,1,0)</f>
        <v>1</v>
      </c>
    </row>
    <row r="35" customFormat="false" ht="13.8" hidden="false" customHeight="false" outlineLevel="0" collapsed="false">
      <c r="A35" s="3" t="s">
        <v>148</v>
      </c>
      <c r="B35" s="3" t="s">
        <v>105</v>
      </c>
      <c r="C35" s="3" t="s">
        <v>61</v>
      </c>
      <c r="D35" s="3" t="s">
        <v>61</v>
      </c>
      <c r="E35" s="3" t="s">
        <v>105</v>
      </c>
      <c r="F35" s="3" t="s">
        <v>61</v>
      </c>
      <c r="G35" s="3" t="n">
        <v>0.972</v>
      </c>
      <c r="I35" s="13" t="n">
        <f aca="false">IF(E35=B35,1,0)</f>
        <v>1</v>
      </c>
      <c r="J35" s="13" t="n">
        <f aca="false">IF(F35=D35,1,0)</f>
        <v>1</v>
      </c>
    </row>
    <row r="36" customFormat="false" ht="13.8" hidden="false" customHeight="false" outlineLevel="0" collapsed="false">
      <c r="A36" s="3" t="s">
        <v>149</v>
      </c>
      <c r="B36" s="3" t="s">
        <v>150</v>
      </c>
      <c r="C36" s="3" t="s">
        <v>151</v>
      </c>
      <c r="D36" s="3" t="s">
        <v>63</v>
      </c>
      <c r="E36" s="3" t="s">
        <v>105</v>
      </c>
      <c r="F36" s="3" t="s">
        <v>55</v>
      </c>
      <c r="G36" s="3" t="n">
        <v>0.972</v>
      </c>
      <c r="I36" s="13" t="n">
        <f aca="false">IF(E36=B36,1,0)</f>
        <v>0</v>
      </c>
      <c r="J36" s="13" t="n">
        <f aca="false">IF(F36=D36,1,0)</f>
        <v>0</v>
      </c>
    </row>
    <row r="37" customFormat="false" ht="13.8" hidden="false" customHeight="false" outlineLevel="0" collapsed="false">
      <c r="A37" s="3" t="s">
        <v>152</v>
      </c>
      <c r="B37" s="3" t="s">
        <v>150</v>
      </c>
      <c r="C37" s="3" t="s">
        <v>153</v>
      </c>
      <c r="D37" s="3" t="s">
        <v>154</v>
      </c>
      <c r="E37" s="3" t="s">
        <v>105</v>
      </c>
      <c r="F37" s="3" t="s">
        <v>61</v>
      </c>
      <c r="G37" s="3" t="n">
        <v>0.962</v>
      </c>
      <c r="I37" s="13" t="n">
        <f aca="false">IF(E37=B37,1,0)</f>
        <v>0</v>
      </c>
      <c r="J37" s="13" t="n">
        <f aca="false">IF(F37=D37,1,0)</f>
        <v>0</v>
      </c>
    </row>
    <row r="38" customFormat="false" ht="13.8" hidden="false" customHeight="false" outlineLevel="0" collapsed="false">
      <c r="A38" s="3" t="s">
        <v>155</v>
      </c>
      <c r="B38" s="3" t="s">
        <v>105</v>
      </c>
      <c r="C38" s="3" t="s">
        <v>55</v>
      </c>
      <c r="D38" s="3" t="s">
        <v>55</v>
      </c>
      <c r="E38" s="3" t="s">
        <v>105</v>
      </c>
      <c r="F38" s="3" t="s">
        <v>55</v>
      </c>
      <c r="G38" s="3" t="n">
        <v>0.961</v>
      </c>
      <c r="I38" s="13" t="n">
        <f aca="false">IF(E38=B38,1,0)</f>
        <v>1</v>
      </c>
      <c r="J38" s="13" t="n">
        <f aca="false">IF(F38=D38,1,0)</f>
        <v>1</v>
      </c>
    </row>
    <row r="39" customFormat="false" ht="13.8" hidden="false" customHeight="false" outlineLevel="0" collapsed="false">
      <c r="A39" s="3" t="s">
        <v>156</v>
      </c>
      <c r="B39" s="3" t="s">
        <v>105</v>
      </c>
      <c r="C39" s="3" t="s">
        <v>55</v>
      </c>
      <c r="D39" s="3" t="s">
        <v>55</v>
      </c>
      <c r="E39" s="3" t="s">
        <v>105</v>
      </c>
      <c r="F39" s="3" t="s">
        <v>61</v>
      </c>
      <c r="G39" s="3" t="n">
        <v>0.951</v>
      </c>
      <c r="I39" s="13" t="n">
        <f aca="false">IF(E39=B39,1,0)</f>
        <v>1</v>
      </c>
      <c r="J39" s="13" t="n">
        <f aca="false">IF(F39=D39,1,0)</f>
        <v>0</v>
      </c>
    </row>
    <row r="40" customFormat="false" ht="13.8" hidden="false" customHeight="false" outlineLevel="0" collapsed="false">
      <c r="A40" s="3" t="s">
        <v>157</v>
      </c>
      <c r="B40" s="3" t="s">
        <v>105</v>
      </c>
      <c r="C40" s="3" t="s">
        <v>55</v>
      </c>
      <c r="D40" s="3" t="s">
        <v>55</v>
      </c>
      <c r="E40" s="3" t="s">
        <v>143</v>
      </c>
      <c r="F40" s="3" t="s">
        <v>69</v>
      </c>
      <c r="G40" s="3" t="n">
        <v>0.951</v>
      </c>
      <c r="I40" s="13" t="n">
        <f aca="false">IF(E40=B40,1,0)</f>
        <v>0</v>
      </c>
      <c r="J40" s="13" t="n">
        <f aca="false">IF(F40=D40,1,0)</f>
        <v>0</v>
      </c>
    </row>
    <row r="41" customFormat="false" ht="13.8" hidden="false" customHeight="false" outlineLevel="0" collapsed="false">
      <c r="A41" s="3" t="s">
        <v>158</v>
      </c>
      <c r="B41" s="3" t="s">
        <v>105</v>
      </c>
      <c r="C41" s="3" t="s">
        <v>61</v>
      </c>
      <c r="D41" s="3" t="s">
        <v>61</v>
      </c>
      <c r="E41" s="3" t="s">
        <v>105</v>
      </c>
      <c r="F41" s="3" t="s">
        <v>61</v>
      </c>
      <c r="G41" s="3" t="n">
        <v>0.944</v>
      </c>
      <c r="I41" s="13" t="n">
        <f aca="false">IF(E41=B41,1,0)</f>
        <v>1</v>
      </c>
      <c r="J41" s="13" t="n">
        <f aca="false">IF(F41=D41,1,0)</f>
        <v>1</v>
      </c>
    </row>
    <row r="42" customFormat="false" ht="13.8" hidden="false" customHeight="false" outlineLevel="0" collapsed="false">
      <c r="A42" s="3" t="s">
        <v>159</v>
      </c>
      <c r="B42" s="3" t="s">
        <v>143</v>
      </c>
      <c r="C42" s="3" t="s">
        <v>160</v>
      </c>
      <c r="D42" s="3" t="s">
        <v>69</v>
      </c>
      <c r="E42" s="3" t="s">
        <v>143</v>
      </c>
      <c r="F42" s="3" t="s">
        <v>69</v>
      </c>
      <c r="G42" s="3" t="n">
        <v>0.943</v>
      </c>
      <c r="I42" s="13" t="n">
        <f aca="false">IF(E42=B42,1,0)</f>
        <v>1</v>
      </c>
      <c r="J42" s="13" t="n">
        <f aca="false">IF(F42=D42,1,0)</f>
        <v>1</v>
      </c>
    </row>
    <row r="43" customFormat="false" ht="13.8" hidden="false" customHeight="false" outlineLevel="0" collapsed="false">
      <c r="A43" s="3" t="s">
        <v>161</v>
      </c>
      <c r="B43" s="3" t="s">
        <v>105</v>
      </c>
      <c r="C43" s="3" t="s">
        <v>61</v>
      </c>
      <c r="D43" s="3" t="s">
        <v>61</v>
      </c>
      <c r="E43" s="3" t="s">
        <v>105</v>
      </c>
      <c r="F43" s="3" t="s">
        <v>61</v>
      </c>
      <c r="G43" s="3" t="n">
        <v>0.936</v>
      </c>
      <c r="I43" s="13" t="n">
        <f aca="false">IF(E43=B43,1,0)</f>
        <v>1</v>
      </c>
      <c r="J43" s="13" t="n">
        <f aca="false">IF(F43=D43,1,0)</f>
        <v>1</v>
      </c>
    </row>
    <row r="44" customFormat="false" ht="13.8" hidden="false" customHeight="false" outlineLevel="0" collapsed="false">
      <c r="A44" s="3" t="s">
        <v>162</v>
      </c>
      <c r="B44" s="3" t="s">
        <v>105</v>
      </c>
      <c r="C44" s="3" t="s">
        <v>55</v>
      </c>
      <c r="D44" s="3" t="s">
        <v>55</v>
      </c>
      <c r="E44" s="3" t="s">
        <v>105</v>
      </c>
      <c r="F44" s="3" t="s">
        <v>55</v>
      </c>
      <c r="G44" s="3" t="n">
        <v>0.936</v>
      </c>
      <c r="I44" s="13" t="n">
        <f aca="false">IF(E44=B44,1,0)</f>
        <v>1</v>
      </c>
      <c r="J44" s="13" t="n">
        <f aca="false">IF(F44=D44,1,0)</f>
        <v>1</v>
      </c>
    </row>
    <row r="45" customFormat="false" ht="13.8" hidden="false" customHeight="false" outlineLevel="0" collapsed="false">
      <c r="A45" s="3" t="s">
        <v>163</v>
      </c>
      <c r="B45" s="3" t="s">
        <v>105</v>
      </c>
      <c r="C45" s="3" t="s">
        <v>55</v>
      </c>
      <c r="D45" s="3" t="s">
        <v>55</v>
      </c>
      <c r="E45" s="3" t="s">
        <v>164</v>
      </c>
      <c r="F45" s="3" t="s">
        <v>83</v>
      </c>
      <c r="G45" s="3" t="n">
        <v>0.933</v>
      </c>
      <c r="I45" s="13" t="n">
        <f aca="false">IF(E45=B45,1,0)</f>
        <v>0</v>
      </c>
      <c r="J45" s="13" t="n">
        <f aca="false">IF(F45=D45,1,0)</f>
        <v>0</v>
      </c>
    </row>
    <row r="46" customFormat="false" ht="13.8" hidden="false" customHeight="false" outlineLevel="0" collapsed="false">
      <c r="A46" s="3" t="s">
        <v>165</v>
      </c>
      <c r="B46" s="3" t="s">
        <v>105</v>
      </c>
      <c r="C46" s="3" t="s">
        <v>61</v>
      </c>
      <c r="D46" s="3" t="s">
        <v>61</v>
      </c>
      <c r="E46" s="3" t="s">
        <v>105</v>
      </c>
      <c r="F46" s="3" t="s">
        <v>61</v>
      </c>
      <c r="G46" s="3" t="n">
        <v>0.932</v>
      </c>
      <c r="I46" s="13" t="n">
        <f aca="false">IF(E46=B46,1,0)</f>
        <v>1</v>
      </c>
      <c r="J46" s="13" t="n">
        <f aca="false">IF(F46=D46,1,0)</f>
        <v>1</v>
      </c>
    </row>
    <row r="47" customFormat="false" ht="13.8" hidden="false" customHeight="false" outlineLevel="0" collapsed="false">
      <c r="A47" s="3" t="s">
        <v>166</v>
      </c>
      <c r="B47" s="3" t="s">
        <v>150</v>
      </c>
      <c r="C47" s="3" t="s">
        <v>153</v>
      </c>
      <c r="D47" s="3" t="s">
        <v>154</v>
      </c>
      <c r="E47" s="3" t="s">
        <v>105</v>
      </c>
      <c r="F47" s="3" t="s">
        <v>61</v>
      </c>
      <c r="G47" s="3" t="n">
        <v>0.926</v>
      </c>
      <c r="I47" s="13" t="n">
        <f aca="false">IF(E47=B47,1,0)</f>
        <v>0</v>
      </c>
      <c r="J47" s="13" t="n">
        <f aca="false">IF(F47=D47,1,0)</f>
        <v>0</v>
      </c>
    </row>
    <row r="48" customFormat="false" ht="13.8" hidden="false" customHeight="false" outlineLevel="0" collapsed="false">
      <c r="A48" s="3" t="s">
        <v>167</v>
      </c>
      <c r="B48" s="3" t="s">
        <v>105</v>
      </c>
      <c r="C48" s="3" t="s">
        <v>55</v>
      </c>
      <c r="D48" s="3" t="s">
        <v>55</v>
      </c>
      <c r="E48" s="3" t="s">
        <v>105</v>
      </c>
      <c r="F48" s="3" t="s">
        <v>55</v>
      </c>
      <c r="G48" s="3" t="n">
        <v>0.918</v>
      </c>
      <c r="I48" s="13" t="n">
        <f aca="false">IF(E48=B48,1,0)</f>
        <v>1</v>
      </c>
      <c r="J48" s="13" t="n">
        <f aca="false">IF(F48=D48,1,0)</f>
        <v>1</v>
      </c>
    </row>
    <row r="49" customFormat="false" ht="13.8" hidden="false" customHeight="false" outlineLevel="0" collapsed="false">
      <c r="A49" s="3" t="s">
        <v>168</v>
      </c>
      <c r="B49" s="3" t="s">
        <v>105</v>
      </c>
      <c r="C49" s="3" t="s">
        <v>61</v>
      </c>
      <c r="D49" s="3" t="s">
        <v>61</v>
      </c>
      <c r="E49" s="3" t="s">
        <v>105</v>
      </c>
      <c r="F49" s="3" t="s">
        <v>61</v>
      </c>
      <c r="G49" s="3" t="n">
        <v>0.912</v>
      </c>
      <c r="I49" s="13" t="n">
        <f aca="false">IF(E49=B49,1,0)</f>
        <v>1</v>
      </c>
      <c r="J49" s="13" t="n">
        <f aca="false">IF(F49=D49,1,0)</f>
        <v>1</v>
      </c>
    </row>
    <row r="50" customFormat="false" ht="13.8" hidden="false" customHeight="false" outlineLevel="0" collapsed="false">
      <c r="A50" s="3" t="s">
        <v>169</v>
      </c>
      <c r="B50" s="3" t="s">
        <v>105</v>
      </c>
      <c r="C50" s="3" t="s">
        <v>61</v>
      </c>
      <c r="D50" s="3" t="s">
        <v>61</v>
      </c>
      <c r="E50" s="3" t="s">
        <v>105</v>
      </c>
      <c r="F50" s="3" t="s">
        <v>61</v>
      </c>
      <c r="G50" s="3" t="n">
        <v>0.911</v>
      </c>
      <c r="I50" s="13" t="n">
        <f aca="false">IF(E50=B50,1,0)</f>
        <v>1</v>
      </c>
      <c r="J50" s="13" t="n">
        <f aca="false">IF(F50=D50,1,0)</f>
        <v>1</v>
      </c>
    </row>
    <row r="51" customFormat="false" ht="13.8" hidden="false" customHeight="false" outlineLevel="0" collapsed="false">
      <c r="A51" s="3" t="s">
        <v>170</v>
      </c>
      <c r="B51" s="3" t="s">
        <v>105</v>
      </c>
      <c r="C51" s="3" t="s">
        <v>61</v>
      </c>
      <c r="D51" s="3" t="s">
        <v>61</v>
      </c>
      <c r="E51" s="3" t="s">
        <v>164</v>
      </c>
      <c r="F51" s="3" t="s">
        <v>83</v>
      </c>
      <c r="G51" s="3" t="n">
        <v>0.911</v>
      </c>
      <c r="I51" s="13" t="n">
        <f aca="false">IF(E51=B51,1,0)</f>
        <v>0</v>
      </c>
      <c r="J51" s="13" t="n">
        <f aca="false">IF(F51=D51,1,0)</f>
        <v>0</v>
      </c>
    </row>
    <row r="52" customFormat="false" ht="13.8" hidden="false" customHeight="false" outlineLevel="0" collapsed="false">
      <c r="A52" s="3" t="s">
        <v>171</v>
      </c>
      <c r="B52" s="3" t="s">
        <v>105</v>
      </c>
      <c r="C52" s="3" t="s">
        <v>61</v>
      </c>
      <c r="D52" s="3" t="s">
        <v>61</v>
      </c>
      <c r="E52" s="3" t="s">
        <v>105</v>
      </c>
      <c r="F52" s="3" t="s">
        <v>61</v>
      </c>
      <c r="G52" s="3" t="n">
        <v>0.896</v>
      </c>
      <c r="I52" s="13" t="n">
        <f aca="false">IF(E52=B52,1,0)</f>
        <v>1</v>
      </c>
      <c r="J52" s="13" t="n">
        <f aca="false">IF(F52=D52,1,0)</f>
        <v>1</v>
      </c>
    </row>
    <row r="53" customFormat="false" ht="13.8" hidden="false" customHeight="false" outlineLevel="0" collapsed="false">
      <c r="A53" s="3" t="s">
        <v>172</v>
      </c>
      <c r="B53" s="3" t="s">
        <v>105</v>
      </c>
      <c r="C53" s="3" t="s">
        <v>61</v>
      </c>
      <c r="D53" s="3" t="s">
        <v>61</v>
      </c>
      <c r="E53" s="3" t="s">
        <v>105</v>
      </c>
      <c r="F53" s="3" t="s">
        <v>61</v>
      </c>
      <c r="G53" s="3" t="n">
        <v>0.875</v>
      </c>
      <c r="I53" s="13" t="n">
        <f aca="false">IF(E53=B53,1,0)</f>
        <v>1</v>
      </c>
      <c r="J53" s="13" t="n">
        <f aca="false">IF(F53=D53,1,0)</f>
        <v>1</v>
      </c>
    </row>
    <row r="54" customFormat="false" ht="13.8" hidden="false" customHeight="false" outlineLevel="0" collapsed="false">
      <c r="A54" s="3" t="s">
        <v>173</v>
      </c>
      <c r="B54" s="3" t="s">
        <v>105</v>
      </c>
      <c r="C54" s="3" t="s">
        <v>61</v>
      </c>
      <c r="D54" s="3" t="s">
        <v>61</v>
      </c>
      <c r="E54" s="3" t="s">
        <v>105</v>
      </c>
      <c r="F54" s="3" t="s">
        <v>61</v>
      </c>
      <c r="G54" s="3" t="n">
        <v>0.869</v>
      </c>
      <c r="I54" s="13" t="n">
        <f aca="false">IF(E54=B54,1,0)</f>
        <v>1</v>
      </c>
      <c r="J54" s="13" t="n">
        <f aca="false">IF(F54=D54,1,0)</f>
        <v>1</v>
      </c>
    </row>
    <row r="55" customFormat="false" ht="13.8" hidden="false" customHeight="false" outlineLevel="0" collapsed="false">
      <c r="A55" s="3" t="s">
        <v>174</v>
      </c>
      <c r="B55" s="3" t="s">
        <v>105</v>
      </c>
      <c r="C55" s="3" t="s">
        <v>61</v>
      </c>
      <c r="D55" s="3" t="s">
        <v>61</v>
      </c>
      <c r="E55" s="3" t="s">
        <v>105</v>
      </c>
      <c r="F55" s="3" t="s">
        <v>61</v>
      </c>
      <c r="G55" s="3" t="n">
        <v>0.856</v>
      </c>
      <c r="I55" s="13" t="n">
        <f aca="false">IF(E55=B55,1,0)</f>
        <v>1</v>
      </c>
      <c r="J55" s="13" t="n">
        <f aca="false">IF(F55=D55,1,0)</f>
        <v>1</v>
      </c>
    </row>
    <row r="56" customFormat="false" ht="13.8" hidden="false" customHeight="false" outlineLevel="0" collapsed="false">
      <c r="A56" s="3" t="s">
        <v>175</v>
      </c>
      <c r="B56" s="3" t="s">
        <v>133</v>
      </c>
      <c r="C56" s="3" t="s">
        <v>65</v>
      </c>
      <c r="D56" s="3" t="s">
        <v>65</v>
      </c>
      <c r="E56" s="3" t="s">
        <v>133</v>
      </c>
      <c r="F56" s="3" t="s">
        <v>65</v>
      </c>
      <c r="G56" s="3" t="n">
        <v>0.838</v>
      </c>
      <c r="I56" s="13" t="n">
        <f aca="false">IF(E56=B56,1,0)</f>
        <v>1</v>
      </c>
      <c r="J56" s="13" t="n">
        <f aca="false">IF(F56=D56,1,0)</f>
        <v>1</v>
      </c>
    </row>
    <row r="57" customFormat="false" ht="13.8" hidden="false" customHeight="false" outlineLevel="0" collapsed="false">
      <c r="A57" s="3" t="s">
        <v>176</v>
      </c>
      <c r="B57" s="3" t="s">
        <v>105</v>
      </c>
      <c r="C57" s="3" t="s">
        <v>55</v>
      </c>
      <c r="D57" s="3" t="s">
        <v>55</v>
      </c>
      <c r="E57" s="3" t="s">
        <v>105</v>
      </c>
      <c r="F57" s="3" t="s">
        <v>55</v>
      </c>
      <c r="G57" s="3" t="n">
        <v>0.828</v>
      </c>
      <c r="I57" s="13" t="n">
        <f aca="false">IF(E57=B57,1,0)</f>
        <v>1</v>
      </c>
      <c r="J57" s="13" t="n">
        <f aca="false">IF(F57=D57,1,0)</f>
        <v>1</v>
      </c>
    </row>
    <row r="58" customFormat="false" ht="13.8" hidden="false" customHeight="false" outlineLevel="0" collapsed="false">
      <c r="A58" s="3" t="s">
        <v>177</v>
      </c>
      <c r="B58" s="3" t="s">
        <v>105</v>
      </c>
      <c r="C58" s="3" t="s">
        <v>61</v>
      </c>
      <c r="D58" s="3" t="s">
        <v>61</v>
      </c>
      <c r="E58" s="3" t="s">
        <v>105</v>
      </c>
      <c r="F58" s="3" t="s">
        <v>61</v>
      </c>
      <c r="G58" s="3" t="n">
        <v>0.805</v>
      </c>
      <c r="I58" s="13" t="n">
        <f aca="false">IF(E58=B58,1,0)</f>
        <v>1</v>
      </c>
      <c r="J58" s="13" t="n">
        <f aca="false">IF(F58=D58,1,0)</f>
        <v>1</v>
      </c>
    </row>
    <row r="59" customFormat="false" ht="13.8" hidden="false" customHeight="false" outlineLevel="0" collapsed="false">
      <c r="A59" s="3" t="s">
        <v>178</v>
      </c>
      <c r="B59" s="3" t="s">
        <v>105</v>
      </c>
      <c r="C59" s="3" t="s">
        <v>61</v>
      </c>
      <c r="D59" s="3" t="s">
        <v>61</v>
      </c>
      <c r="E59" s="3" t="s">
        <v>105</v>
      </c>
      <c r="F59" s="3" t="s">
        <v>55</v>
      </c>
      <c r="G59" s="3" t="n">
        <v>0.793</v>
      </c>
      <c r="I59" s="13" t="n">
        <f aca="false">IF(E59=B59,1,0)</f>
        <v>1</v>
      </c>
      <c r="J59" s="13" t="n">
        <f aca="false">IF(F59=D59,1,0)</f>
        <v>0</v>
      </c>
    </row>
    <row r="60" customFormat="false" ht="13.8" hidden="false" customHeight="false" outlineLevel="0" collapsed="false">
      <c r="A60" s="3" t="s">
        <v>179</v>
      </c>
      <c r="B60" s="3" t="s">
        <v>150</v>
      </c>
      <c r="C60" s="3" t="s">
        <v>151</v>
      </c>
      <c r="D60" s="3" t="s">
        <v>63</v>
      </c>
      <c r="E60" s="3" t="s">
        <v>105</v>
      </c>
      <c r="F60" s="3" t="s">
        <v>55</v>
      </c>
      <c r="G60" s="3" t="n">
        <v>0.764</v>
      </c>
      <c r="I60" s="13" t="n">
        <f aca="false">IF(E60=B60,1,0)</f>
        <v>0</v>
      </c>
      <c r="J60" s="13" t="n">
        <f aca="false">IF(F60=D60,1,0)</f>
        <v>0</v>
      </c>
    </row>
    <row r="61" customFormat="false" ht="13.8" hidden="false" customHeight="false" outlineLevel="0" collapsed="false">
      <c r="A61" s="3" t="s">
        <v>180</v>
      </c>
      <c r="B61" s="3" t="s">
        <v>133</v>
      </c>
      <c r="C61" s="3" t="s">
        <v>65</v>
      </c>
      <c r="D61" s="3" t="s">
        <v>65</v>
      </c>
      <c r="E61" s="3" t="s">
        <v>133</v>
      </c>
      <c r="F61" s="3" t="s">
        <v>65</v>
      </c>
      <c r="G61" s="3" t="n">
        <v>0.747</v>
      </c>
      <c r="I61" s="13" t="n">
        <f aca="false">IF(E61=B61,1,0)</f>
        <v>1</v>
      </c>
      <c r="J61" s="13" t="n">
        <f aca="false">IF(F61=D61,1,0)</f>
        <v>1</v>
      </c>
    </row>
    <row r="62" customFormat="false" ht="13.8" hidden="false" customHeight="false" outlineLevel="0" collapsed="false">
      <c r="A62" s="19" t="s">
        <v>181</v>
      </c>
      <c r="B62" s="19" t="s">
        <v>143</v>
      </c>
      <c r="C62" s="19" t="s">
        <v>160</v>
      </c>
      <c r="D62" s="19" t="s">
        <v>69</v>
      </c>
      <c r="E62" s="19" t="s">
        <v>143</v>
      </c>
      <c r="F62" s="19" t="s">
        <v>69</v>
      </c>
      <c r="G62" s="19" t="n">
        <v>0.73</v>
      </c>
      <c r="H62" s="20"/>
      <c r="I62" s="20" t="n">
        <f aca="false">IF(E62=B62,1,0)</f>
        <v>1</v>
      </c>
      <c r="J62" s="20" t="n">
        <f aca="false">IF(F62=D62,1,0)</f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customFormat="false" ht="13.8" hidden="false" customHeight="false" outlineLevel="0" collapsed="false">
      <c r="A63" s="3"/>
      <c r="B63" s="3"/>
      <c r="C63" s="3"/>
      <c r="D63" s="3"/>
      <c r="E63" s="3"/>
      <c r="F63" s="3"/>
      <c r="G63" s="3"/>
    </row>
    <row r="64" customFormat="false" ht="13.8" hidden="false" customHeight="false" outlineLevel="0" collapsed="false">
      <c r="A64" s="3" t="s">
        <v>182</v>
      </c>
      <c r="B64" s="3" t="s">
        <v>105</v>
      </c>
      <c r="C64" s="3" t="s">
        <v>61</v>
      </c>
      <c r="D64" s="3" t="s">
        <v>61</v>
      </c>
      <c r="E64" s="3" t="s">
        <v>105</v>
      </c>
      <c r="F64" s="3" t="s">
        <v>61</v>
      </c>
      <c r="G64" s="3" t="n">
        <v>0.697</v>
      </c>
    </row>
    <row r="65" customFormat="false" ht="13.8" hidden="false" customHeight="false" outlineLevel="0" collapsed="false">
      <c r="A65" s="3" t="s">
        <v>183</v>
      </c>
      <c r="B65" s="3" t="s">
        <v>105</v>
      </c>
      <c r="C65" s="3" t="s">
        <v>61</v>
      </c>
      <c r="D65" s="3" t="s">
        <v>61</v>
      </c>
      <c r="E65" s="3" t="s">
        <v>105</v>
      </c>
      <c r="F65" s="3" t="s">
        <v>61</v>
      </c>
      <c r="G65" s="3" t="n">
        <v>0.675</v>
      </c>
    </row>
    <row r="66" customFormat="false" ht="13.8" hidden="false" customHeight="false" outlineLevel="0" collapsed="false">
      <c r="A66" s="3" t="s">
        <v>184</v>
      </c>
      <c r="B66" s="3" t="s">
        <v>105</v>
      </c>
      <c r="C66" s="3" t="s">
        <v>55</v>
      </c>
      <c r="D66" s="3" t="s">
        <v>55</v>
      </c>
      <c r="E66" s="3" t="s">
        <v>105</v>
      </c>
      <c r="F66" s="3" t="s">
        <v>55</v>
      </c>
      <c r="G66" s="3" t="n">
        <v>0.632</v>
      </c>
    </row>
    <row r="67" customFormat="false" ht="13.8" hidden="false" customHeight="false" outlineLevel="0" collapsed="false">
      <c r="A67" s="3" t="s">
        <v>185</v>
      </c>
      <c r="B67" s="3" t="s">
        <v>105</v>
      </c>
      <c r="C67" s="3" t="s">
        <v>55</v>
      </c>
      <c r="D67" s="3" t="s">
        <v>55</v>
      </c>
      <c r="E67" s="3" t="s">
        <v>105</v>
      </c>
      <c r="F67" s="3" t="s">
        <v>55</v>
      </c>
      <c r="G67" s="3" t="n">
        <v>0.631</v>
      </c>
    </row>
    <row r="68" customFormat="false" ht="13.8" hidden="false" customHeight="false" outlineLevel="0" collapsed="false">
      <c r="A68" s="3" t="s">
        <v>186</v>
      </c>
      <c r="B68" s="3" t="s">
        <v>143</v>
      </c>
      <c r="C68" s="3" t="s">
        <v>160</v>
      </c>
      <c r="D68" s="3" t="s">
        <v>69</v>
      </c>
      <c r="E68" s="3" t="s">
        <v>143</v>
      </c>
      <c r="F68" s="3" t="s">
        <v>69</v>
      </c>
      <c r="G68" s="3" t="n">
        <v>0.624</v>
      </c>
    </row>
    <row r="69" customFormat="false" ht="13.8" hidden="false" customHeight="false" outlineLevel="0" collapsed="false">
      <c r="A69" s="3" t="s">
        <v>187</v>
      </c>
      <c r="B69" s="3" t="s">
        <v>105</v>
      </c>
      <c r="C69" s="3" t="s">
        <v>55</v>
      </c>
      <c r="D69" s="3" t="s">
        <v>55</v>
      </c>
      <c r="E69" s="3" t="s">
        <v>105</v>
      </c>
      <c r="F69" s="3" t="s">
        <v>61</v>
      </c>
      <c r="G69" s="3" t="n">
        <v>0.622</v>
      </c>
    </row>
    <row r="70" customFormat="false" ht="13.8" hidden="false" customHeight="false" outlineLevel="0" collapsed="false">
      <c r="A70" s="3" t="s">
        <v>188</v>
      </c>
      <c r="B70" s="3" t="s">
        <v>133</v>
      </c>
      <c r="C70" s="3" t="s">
        <v>65</v>
      </c>
      <c r="D70" s="3" t="s">
        <v>65</v>
      </c>
      <c r="E70" s="3" t="s">
        <v>105</v>
      </c>
      <c r="F70" s="3" t="s">
        <v>61</v>
      </c>
      <c r="G70" s="3" t="n">
        <v>0.612</v>
      </c>
    </row>
    <row r="71" customFormat="false" ht="13.8" hidden="false" customHeight="false" outlineLevel="0" collapsed="false">
      <c r="A71" s="3" t="s">
        <v>189</v>
      </c>
      <c r="B71" s="3" t="s">
        <v>105</v>
      </c>
      <c r="C71" s="3" t="s">
        <v>55</v>
      </c>
      <c r="D71" s="3" t="s">
        <v>55</v>
      </c>
      <c r="E71" s="3" t="s">
        <v>105</v>
      </c>
      <c r="F71" s="3" t="s">
        <v>55</v>
      </c>
      <c r="G71" s="3" t="n">
        <v>0.601</v>
      </c>
    </row>
    <row r="72" customFormat="false" ht="13.8" hidden="false" customHeight="false" outlineLevel="0" collapsed="false">
      <c r="A72" s="3" t="s">
        <v>190</v>
      </c>
      <c r="B72" s="3" t="s">
        <v>105</v>
      </c>
      <c r="C72" s="3" t="s">
        <v>55</v>
      </c>
      <c r="D72" s="3" t="s">
        <v>55</v>
      </c>
      <c r="E72" s="3" t="s">
        <v>105</v>
      </c>
      <c r="F72" s="3" t="s">
        <v>61</v>
      </c>
      <c r="G72" s="3" t="n">
        <v>0.591</v>
      </c>
    </row>
    <row r="73" customFormat="false" ht="13.8" hidden="false" customHeight="false" outlineLevel="0" collapsed="false">
      <c r="A73" s="3" t="s">
        <v>191</v>
      </c>
      <c r="B73" s="3" t="s">
        <v>105</v>
      </c>
      <c r="C73" s="3" t="s">
        <v>61</v>
      </c>
      <c r="D73" s="3" t="s">
        <v>61</v>
      </c>
      <c r="E73" s="3" t="s">
        <v>105</v>
      </c>
      <c r="F73" s="3" t="s">
        <v>77</v>
      </c>
      <c r="G73" s="3" t="n">
        <v>0.537</v>
      </c>
    </row>
    <row r="74" customFormat="false" ht="13.8" hidden="false" customHeight="false" outlineLevel="0" collapsed="false">
      <c r="A74" s="3" t="s">
        <v>192</v>
      </c>
      <c r="B74" s="3" t="s">
        <v>143</v>
      </c>
      <c r="C74" s="3" t="s">
        <v>160</v>
      </c>
      <c r="D74" s="3" t="s">
        <v>69</v>
      </c>
      <c r="E74" s="3" t="s">
        <v>143</v>
      </c>
      <c r="F74" s="3" t="s">
        <v>69</v>
      </c>
      <c r="G74" s="3" t="n">
        <v>0.511</v>
      </c>
    </row>
    <row r="75" customFormat="false" ht="13.8" hidden="false" customHeight="false" outlineLevel="0" collapsed="false">
      <c r="A75" s="3" t="s">
        <v>193</v>
      </c>
      <c r="B75" s="3" t="s">
        <v>133</v>
      </c>
      <c r="C75" s="3" t="s">
        <v>65</v>
      </c>
      <c r="D75" s="3" t="s">
        <v>65</v>
      </c>
      <c r="E75" s="3" t="s">
        <v>105</v>
      </c>
      <c r="F75" s="3" t="s">
        <v>61</v>
      </c>
      <c r="G75" s="3" t="n">
        <v>0.465</v>
      </c>
    </row>
    <row r="76" customFormat="false" ht="13.8" hidden="false" customHeight="false" outlineLevel="0" collapsed="false">
      <c r="A76" s="3" t="s">
        <v>194</v>
      </c>
      <c r="B76" s="3" t="s">
        <v>150</v>
      </c>
      <c r="C76" s="3" t="s">
        <v>153</v>
      </c>
      <c r="D76" s="3" t="s">
        <v>154</v>
      </c>
      <c r="E76" s="3" t="s">
        <v>133</v>
      </c>
      <c r="F76" s="3" t="s">
        <v>65</v>
      </c>
      <c r="G76" s="3" t="n">
        <v>0.422</v>
      </c>
    </row>
    <row r="77" customFormat="false" ht="13.8" hidden="false" customHeight="false" outlineLevel="0" collapsed="false">
      <c r="A77" s="3" t="s">
        <v>195</v>
      </c>
      <c r="B77" s="3" t="s">
        <v>105</v>
      </c>
      <c r="C77" s="3" t="s">
        <v>55</v>
      </c>
      <c r="D77" s="3" t="s">
        <v>55</v>
      </c>
      <c r="E77" s="3" t="s">
        <v>133</v>
      </c>
      <c r="F77" s="3" t="s">
        <v>65</v>
      </c>
      <c r="G77" s="3" t="n">
        <v>0.347</v>
      </c>
    </row>
  </sheetData>
  <mergeCells count="1">
    <mergeCell ref="A1:C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" activeCellId="0" sqref="S2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5.9"/>
    <col collapsed="false" customWidth="true" hidden="false" outlineLevel="0" max="1024" min="3" style="0" width="12.64"/>
  </cols>
  <sheetData>
    <row r="1" customFormat="false" ht="13.8" hidden="false" customHeight="false" outlineLevel="0" collapsed="false">
      <c r="A1" s="21"/>
      <c r="B1" s="11" t="s">
        <v>98</v>
      </c>
      <c r="C1" s="11"/>
      <c r="D1" s="11"/>
      <c r="E1" s="4" t="s">
        <v>99</v>
      </c>
      <c r="F1" s="12" t="s">
        <v>100</v>
      </c>
      <c r="G1" s="12" t="s">
        <v>101</v>
      </c>
      <c r="H1" s="12" t="s">
        <v>102</v>
      </c>
      <c r="I1" s="12" t="s">
        <v>196</v>
      </c>
      <c r="K1" s="12" t="s">
        <v>100</v>
      </c>
      <c r="L1" s="12" t="s">
        <v>103</v>
      </c>
    </row>
    <row r="2" customFormat="false" ht="13.8" hidden="false" customHeight="false" outlineLevel="0" collapsed="false">
      <c r="A2" s="3" t="n">
        <v>1</v>
      </c>
      <c r="B2" s="3" t="s">
        <v>197</v>
      </c>
      <c r="C2" s="3" t="s">
        <v>143</v>
      </c>
      <c r="D2" s="3" t="s">
        <v>198</v>
      </c>
      <c r="E2" s="3" t="s">
        <v>67</v>
      </c>
      <c r="F2" s="3" t="s">
        <v>143</v>
      </c>
      <c r="G2" s="3" t="s">
        <v>67</v>
      </c>
      <c r="H2" s="3" t="n">
        <v>1</v>
      </c>
      <c r="I2" s="13" t="n">
        <f aca="false">IF(G2=E2,1,0)</f>
        <v>1</v>
      </c>
      <c r="K2" s="13" t="n">
        <f aca="false">IF(G2=E2,1,0)</f>
        <v>1</v>
      </c>
      <c r="L2" s="13" t="n">
        <f aca="false">IF(F2=C2,1,0)</f>
        <v>1</v>
      </c>
      <c r="M2" s="13" t="n">
        <f aca="false">COUNT(I2:I428)-37</f>
        <v>390</v>
      </c>
      <c r="N2" s="14" t="s">
        <v>106</v>
      </c>
      <c r="Q2" s="16" t="s">
        <v>107</v>
      </c>
      <c r="R2" s="17"/>
      <c r="S2" s="8" t="s">
        <v>108</v>
      </c>
    </row>
    <row r="3" customFormat="false" ht="13.8" hidden="false" customHeight="false" outlineLevel="0" collapsed="false">
      <c r="A3" s="3" t="n">
        <v>2</v>
      </c>
      <c r="B3" s="3" t="s">
        <v>199</v>
      </c>
      <c r="C3" s="3" t="s">
        <v>105</v>
      </c>
      <c r="D3" s="3" t="s">
        <v>61</v>
      </c>
      <c r="E3" s="3" t="s">
        <v>61</v>
      </c>
      <c r="F3" s="3" t="s">
        <v>105</v>
      </c>
      <c r="G3" s="3" t="s">
        <v>61</v>
      </c>
      <c r="H3" s="3" t="n">
        <v>1</v>
      </c>
      <c r="I3" s="13" t="n">
        <f aca="false">IF(G3=E3,1,0)</f>
        <v>1</v>
      </c>
      <c r="K3" s="13" t="n">
        <f aca="false">IF(G3=E3,1,0)</f>
        <v>1</v>
      </c>
      <c r="L3" s="13" t="n">
        <f aca="false">IF(F3=C3,1,0)</f>
        <v>1</v>
      </c>
      <c r="M3" s="13" t="n">
        <f aca="false">SUM(I2:I428)</f>
        <v>285</v>
      </c>
      <c r="N3" s="14" t="s">
        <v>110</v>
      </c>
      <c r="Q3" s="18" t="n">
        <f aca="false">AVERAGE(K2:K428)</f>
        <v>0.7251908397</v>
      </c>
      <c r="R3" s="3" t="s">
        <v>111</v>
      </c>
      <c r="S3" s="18" t="n">
        <f aca="false">COUNT(K$2:K$428)/COUNTA($A$2:$A$668)</f>
        <v>0.5909774436</v>
      </c>
    </row>
    <row r="4" customFormat="false" ht="13.8" hidden="false" customHeight="false" outlineLevel="0" collapsed="false">
      <c r="A4" s="3" t="n">
        <v>3</v>
      </c>
      <c r="B4" s="3" t="s">
        <v>200</v>
      </c>
      <c r="C4" s="3" t="s">
        <v>143</v>
      </c>
      <c r="D4" s="3" t="s">
        <v>198</v>
      </c>
      <c r="E4" s="3" t="s">
        <v>67</v>
      </c>
      <c r="F4" s="3" t="s">
        <v>143</v>
      </c>
      <c r="G4" s="3" t="s">
        <v>67</v>
      </c>
      <c r="H4" s="3" t="n">
        <v>1</v>
      </c>
      <c r="I4" s="13" t="n">
        <f aca="false">IF(G4=E4,1,0)</f>
        <v>1</v>
      </c>
      <c r="K4" s="13" t="n">
        <f aca="false">IF(G4=E4,1,0)</f>
        <v>1</v>
      </c>
      <c r="L4" s="13" t="n">
        <f aca="false">IF(F4=C4,1,0)</f>
        <v>1</v>
      </c>
      <c r="M4" s="18" t="n">
        <f aca="false">M3/M2</f>
        <v>0.7307692308</v>
      </c>
      <c r="N4" s="14" t="s">
        <v>113</v>
      </c>
      <c r="Q4" s="18" t="n">
        <f aca="false">AVERAGE(L2:L428)</f>
        <v>0.7938931298</v>
      </c>
      <c r="R4" s="3" t="s">
        <v>114</v>
      </c>
      <c r="S4" s="18" t="n">
        <f aca="false">COUNT(L$2:L$428)/COUNTA($A$2:$A$668)</f>
        <v>0.5909774436</v>
      </c>
    </row>
    <row r="5" customFormat="false" ht="13.8" hidden="false" customHeight="false" outlineLevel="0" collapsed="false">
      <c r="A5" s="3" t="n">
        <v>4</v>
      </c>
      <c r="B5" s="3" t="s">
        <v>201</v>
      </c>
      <c r="C5" s="3" t="s">
        <v>105</v>
      </c>
      <c r="D5" s="3" t="s">
        <v>55</v>
      </c>
      <c r="E5" s="3" t="s">
        <v>55</v>
      </c>
      <c r="F5" s="3" t="s">
        <v>105</v>
      </c>
      <c r="G5" s="3" t="s">
        <v>55</v>
      </c>
      <c r="H5" s="3" t="n">
        <v>1</v>
      </c>
      <c r="I5" s="13" t="n">
        <f aca="false">IF(G5=E5,1,0)</f>
        <v>1</v>
      </c>
      <c r="K5" s="13" t="n">
        <f aca="false">IF(G5=E5,1,0)</f>
        <v>1</v>
      </c>
      <c r="L5" s="13" t="n">
        <f aca="false">IF(F5=C5,1,0)</f>
        <v>1</v>
      </c>
    </row>
    <row r="6" customFormat="false" ht="13.8" hidden="false" customHeight="false" outlineLevel="0" collapsed="false">
      <c r="A6" s="3" t="n">
        <v>5</v>
      </c>
      <c r="B6" s="3" t="s">
        <v>202</v>
      </c>
      <c r="C6" s="3" t="s">
        <v>143</v>
      </c>
      <c r="D6" s="3" t="s">
        <v>198</v>
      </c>
      <c r="E6" s="3" t="s">
        <v>67</v>
      </c>
      <c r="F6" s="3" t="s">
        <v>143</v>
      </c>
      <c r="G6" s="3" t="s">
        <v>67</v>
      </c>
      <c r="H6" s="3" t="n">
        <v>1</v>
      </c>
      <c r="I6" s="13" t="n">
        <f aca="false">IF(G6=E6,1,0)</f>
        <v>1</v>
      </c>
      <c r="K6" s="13" t="n">
        <f aca="false">IF(G6=E6,1,0)</f>
        <v>1</v>
      </c>
      <c r="L6" s="13" t="n">
        <f aca="false">IF(F6=C6,1,0)</f>
        <v>1</v>
      </c>
      <c r="M6" s="13" t="n">
        <f aca="false">COUNT(I2:I371)-32</f>
        <v>338</v>
      </c>
      <c r="N6" s="14" t="s">
        <v>117</v>
      </c>
      <c r="Q6" s="18" t="n">
        <f aca="false">AVERAGE(K2:K371)</f>
        <v>0.7712609971</v>
      </c>
      <c r="R6" s="3" t="s">
        <v>111</v>
      </c>
      <c r="S6" s="18" t="n">
        <f aca="false">COUNT(K$2:K$371)/COUNTA($A$2:$A$668)</f>
        <v>0.5127819549</v>
      </c>
    </row>
    <row r="7" customFormat="false" ht="13.8" hidden="false" customHeight="false" outlineLevel="0" collapsed="false">
      <c r="A7" s="3" t="n">
        <v>6</v>
      </c>
      <c r="B7" s="3" t="s">
        <v>203</v>
      </c>
      <c r="C7" s="3" t="s">
        <v>105</v>
      </c>
      <c r="D7" s="3" t="s">
        <v>61</v>
      </c>
      <c r="E7" s="3" t="s">
        <v>61</v>
      </c>
      <c r="F7" s="3" t="s">
        <v>105</v>
      </c>
      <c r="G7" s="3" t="s">
        <v>61</v>
      </c>
      <c r="H7" s="3" t="n">
        <v>1</v>
      </c>
      <c r="I7" s="13" t="n">
        <f aca="false">IF(G7=E7,1,0)</f>
        <v>1</v>
      </c>
      <c r="K7" s="13" t="n">
        <f aca="false">IF(G7=E7,1,0)</f>
        <v>1</v>
      </c>
      <c r="L7" s="13" t="n">
        <f aca="false">IF(F7=C7,1,0)</f>
        <v>1</v>
      </c>
      <c r="M7" s="13" t="n">
        <f aca="false">SUM(I2:I371)</f>
        <v>263</v>
      </c>
      <c r="N7" s="14" t="s">
        <v>110</v>
      </c>
      <c r="Q7" s="18" t="n">
        <f aca="false">AVERAGE(L2:L371)</f>
        <v>0.8240469208</v>
      </c>
      <c r="R7" s="3" t="s">
        <v>114</v>
      </c>
      <c r="S7" s="18" t="n">
        <f aca="false">COUNT(L$2:L$371)/COUNTA($A$2:$A$668)</f>
        <v>0.5127819549</v>
      </c>
    </row>
    <row r="8" customFormat="false" ht="13.8" hidden="false" customHeight="false" outlineLevel="0" collapsed="false">
      <c r="A8" s="3" t="n">
        <v>7</v>
      </c>
      <c r="B8" s="3" t="s">
        <v>204</v>
      </c>
      <c r="C8" s="3" t="s">
        <v>143</v>
      </c>
      <c r="D8" s="3" t="s">
        <v>198</v>
      </c>
      <c r="E8" s="3" t="s">
        <v>67</v>
      </c>
      <c r="F8" s="3" t="s">
        <v>143</v>
      </c>
      <c r="G8" s="3" t="s">
        <v>67</v>
      </c>
      <c r="H8" s="3" t="n">
        <v>1</v>
      </c>
      <c r="I8" s="13" t="n">
        <f aca="false">IF(G8=E8,1,0)</f>
        <v>1</v>
      </c>
      <c r="K8" s="13" t="n">
        <f aca="false">IF(G8=E8,1,0)</f>
        <v>1</v>
      </c>
      <c r="L8" s="13" t="n">
        <f aca="false">IF(F8=C8,1,0)</f>
        <v>1</v>
      </c>
      <c r="M8" s="18" t="n">
        <f aca="false">M7/M6</f>
        <v>0.7781065089</v>
      </c>
      <c r="N8" s="14" t="s">
        <v>113</v>
      </c>
    </row>
    <row r="9" customFormat="false" ht="13.8" hidden="false" customHeight="false" outlineLevel="0" collapsed="false">
      <c r="A9" s="3" t="n">
        <v>8</v>
      </c>
      <c r="B9" s="3" t="s">
        <v>205</v>
      </c>
      <c r="C9" s="3" t="s">
        <v>150</v>
      </c>
      <c r="D9" s="3" t="s">
        <v>75</v>
      </c>
      <c r="E9" s="3" t="s">
        <v>75</v>
      </c>
      <c r="F9" s="3" t="s">
        <v>150</v>
      </c>
      <c r="G9" s="3" t="s">
        <v>75</v>
      </c>
      <c r="H9" s="3" t="n">
        <v>1</v>
      </c>
      <c r="I9" s="13" t="n">
        <f aca="false">IF(G9=E9,1,0)</f>
        <v>1</v>
      </c>
      <c r="K9" s="13" t="n">
        <f aca="false">IF(G9=E9,1,0)</f>
        <v>1</v>
      </c>
      <c r="L9" s="13" t="n">
        <f aca="false">IF(F9=C9,1,0)</f>
        <v>1</v>
      </c>
    </row>
    <row r="10" customFormat="false" ht="13.8" hidden="false" customHeight="false" outlineLevel="0" collapsed="false">
      <c r="A10" s="3" t="n">
        <v>9</v>
      </c>
      <c r="B10" s="3" t="s">
        <v>206</v>
      </c>
      <c r="C10" s="3" t="s">
        <v>143</v>
      </c>
      <c r="D10" s="3" t="s">
        <v>198</v>
      </c>
      <c r="E10" s="3" t="s">
        <v>67</v>
      </c>
      <c r="F10" s="3" t="s">
        <v>143</v>
      </c>
      <c r="G10" s="3" t="s">
        <v>67</v>
      </c>
      <c r="H10" s="3" t="n">
        <v>1</v>
      </c>
      <c r="I10" s="13" t="n">
        <f aca="false">IF(G10=E10,1,0)</f>
        <v>1</v>
      </c>
      <c r="K10" s="13" t="n">
        <f aca="false">IF(G10=E10,1,0)</f>
        <v>1</v>
      </c>
      <c r="L10" s="13" t="n">
        <f aca="false">IF(F10=C10,1,0)</f>
        <v>1</v>
      </c>
      <c r="N10" s="14"/>
    </row>
    <row r="11" customFormat="false" ht="13.8" hidden="false" customHeight="false" outlineLevel="0" collapsed="false">
      <c r="A11" s="3" t="n">
        <v>10</v>
      </c>
      <c r="B11" s="3" t="s">
        <v>207</v>
      </c>
      <c r="C11" s="3" t="s">
        <v>105</v>
      </c>
      <c r="D11" s="3" t="s">
        <v>61</v>
      </c>
      <c r="E11" s="3" t="s">
        <v>61</v>
      </c>
      <c r="F11" s="3" t="s">
        <v>105</v>
      </c>
      <c r="G11" s="3" t="s">
        <v>61</v>
      </c>
      <c r="H11" s="3" t="n">
        <v>1</v>
      </c>
      <c r="I11" s="13" t="n">
        <f aca="false">IF(G11=E11,1,0)</f>
        <v>1</v>
      </c>
      <c r="K11" s="13" t="n">
        <f aca="false">IF(G11=E11,1,0)</f>
        <v>1</v>
      </c>
      <c r="L11" s="13" t="n">
        <f aca="false">IF(F11=C11,1,0)</f>
        <v>1</v>
      </c>
      <c r="N11" s="14"/>
    </row>
    <row r="12" customFormat="false" ht="13.8" hidden="false" customHeight="false" outlineLevel="0" collapsed="false">
      <c r="A12" s="3" t="n">
        <v>11</v>
      </c>
      <c r="B12" s="3" t="s">
        <v>208</v>
      </c>
      <c r="C12" s="3" t="s">
        <v>143</v>
      </c>
      <c r="D12" s="3" t="s">
        <v>198</v>
      </c>
      <c r="E12" s="3" t="s">
        <v>67</v>
      </c>
      <c r="F12" s="3" t="s">
        <v>143</v>
      </c>
      <c r="G12" s="3" t="s">
        <v>67</v>
      </c>
      <c r="H12" s="3" t="n">
        <v>1</v>
      </c>
      <c r="I12" s="13" t="n">
        <f aca="false">IF(G12=E12,1,0)</f>
        <v>1</v>
      </c>
      <c r="K12" s="13" t="n">
        <f aca="false">IF(G12=E12,1,0)</f>
        <v>1</v>
      </c>
      <c r="L12" s="13" t="n">
        <f aca="false">IF(F12=C12,1,0)</f>
        <v>1</v>
      </c>
      <c r="M12" s="18"/>
      <c r="N12" s="14"/>
    </row>
    <row r="13" customFormat="false" ht="13.8" hidden="false" customHeight="false" outlineLevel="0" collapsed="false">
      <c r="A13" s="3" t="n">
        <v>12</v>
      </c>
      <c r="B13" s="3" t="s">
        <v>209</v>
      </c>
      <c r="C13" s="3" t="s">
        <v>150</v>
      </c>
      <c r="D13" s="3" t="s">
        <v>75</v>
      </c>
      <c r="E13" s="3" t="s">
        <v>75</v>
      </c>
      <c r="F13" s="3" t="s">
        <v>150</v>
      </c>
      <c r="G13" s="3" t="s">
        <v>75</v>
      </c>
      <c r="H13" s="3" t="n">
        <v>1</v>
      </c>
      <c r="I13" s="13" t="n">
        <f aca="false">IF(G13=E13,1,0)</f>
        <v>1</v>
      </c>
      <c r="K13" s="13" t="n">
        <f aca="false">IF(G13=E13,1,0)</f>
        <v>1</v>
      </c>
      <c r="L13" s="13" t="n">
        <f aca="false">IF(F13=C13,1,0)</f>
        <v>1</v>
      </c>
    </row>
    <row r="14" customFormat="false" ht="13.8" hidden="false" customHeight="false" outlineLevel="0" collapsed="false">
      <c r="A14" s="3" t="n">
        <v>13</v>
      </c>
      <c r="B14" s="3" t="s">
        <v>210</v>
      </c>
      <c r="C14" s="3" t="s">
        <v>105</v>
      </c>
      <c r="D14" s="3" t="s">
        <v>61</v>
      </c>
      <c r="E14" s="3" t="s">
        <v>61</v>
      </c>
      <c r="F14" s="3" t="s">
        <v>105</v>
      </c>
      <c r="G14" s="3" t="s">
        <v>61</v>
      </c>
      <c r="H14" s="3" t="n">
        <v>1</v>
      </c>
      <c r="I14" s="13" t="n">
        <f aca="false">IF(G14=E14,1,0)</f>
        <v>1</v>
      </c>
      <c r="K14" s="13" t="n">
        <f aca="false">IF(G14=E14,1,0)</f>
        <v>1</v>
      </c>
      <c r="L14" s="13" t="n">
        <f aca="false">IF(F14=C14,1,0)</f>
        <v>1</v>
      </c>
      <c r="M14" s="13" t="n">
        <f aca="false">COUNTIF(J2:J998, "unclassifiable")</f>
        <v>34</v>
      </c>
      <c r="N14" s="3" t="s">
        <v>211</v>
      </c>
    </row>
    <row r="15" customFormat="false" ht="13.8" hidden="false" customHeight="false" outlineLevel="0" collapsed="false">
      <c r="A15" s="3" t="n">
        <v>14</v>
      </c>
      <c r="B15" s="3" t="s">
        <v>212</v>
      </c>
      <c r="C15" s="3" t="s">
        <v>105</v>
      </c>
      <c r="D15" s="3" t="s">
        <v>55</v>
      </c>
      <c r="E15" s="3" t="s">
        <v>55</v>
      </c>
      <c r="F15" s="3" t="s">
        <v>105</v>
      </c>
      <c r="G15" s="3" t="s">
        <v>55</v>
      </c>
      <c r="H15" s="3" t="n">
        <v>1</v>
      </c>
      <c r="I15" s="13" t="n">
        <f aca="false">IF(G15=E15,1,0)</f>
        <v>1</v>
      </c>
      <c r="K15" s="13" t="n">
        <f aca="false">IF(G15=E15,1,0)</f>
        <v>1</v>
      </c>
      <c r="L15" s="13" t="n">
        <f aca="false">IF(F15=C15,1,0)</f>
        <v>1</v>
      </c>
      <c r="M15" s="13" t="n">
        <f aca="false">COUNTIF(J3:J371, "unclassifiable")</f>
        <v>29</v>
      </c>
      <c r="N15" s="3" t="s">
        <v>213</v>
      </c>
    </row>
    <row r="16" customFormat="false" ht="13.8" hidden="false" customHeight="false" outlineLevel="0" collapsed="false">
      <c r="A16" s="3" t="n">
        <v>15</v>
      </c>
      <c r="B16" s="3" t="s">
        <v>214</v>
      </c>
      <c r="C16" s="3" t="s">
        <v>105</v>
      </c>
      <c r="D16" s="3" t="s">
        <v>61</v>
      </c>
      <c r="E16" s="3" t="s">
        <v>61</v>
      </c>
      <c r="F16" s="3" t="s">
        <v>105</v>
      </c>
      <c r="G16" s="3" t="s">
        <v>61</v>
      </c>
      <c r="H16" s="3" t="n">
        <v>1</v>
      </c>
      <c r="I16" s="13" t="n">
        <f aca="false">IF(G16=E16,1,0)</f>
        <v>1</v>
      </c>
      <c r="K16" s="13" t="n">
        <f aca="false">IF(G16=E16,1,0)</f>
        <v>1</v>
      </c>
      <c r="L16" s="13" t="n">
        <f aca="false">IF(F16=C16,1,0)</f>
        <v>1</v>
      </c>
    </row>
    <row r="17" customFormat="false" ht="13.8" hidden="false" customHeight="false" outlineLevel="0" collapsed="false">
      <c r="A17" s="3" t="n">
        <v>16</v>
      </c>
      <c r="B17" s="3" t="s">
        <v>215</v>
      </c>
      <c r="C17" s="3" t="s">
        <v>105</v>
      </c>
      <c r="D17" s="3" t="s">
        <v>61</v>
      </c>
      <c r="E17" s="3" t="s">
        <v>61</v>
      </c>
      <c r="F17" s="3" t="s">
        <v>105</v>
      </c>
      <c r="G17" s="3" t="s">
        <v>61</v>
      </c>
      <c r="H17" s="3" t="n">
        <v>1</v>
      </c>
      <c r="I17" s="13" t="n">
        <f aca="false">IF(G17=E17,1,0)</f>
        <v>1</v>
      </c>
      <c r="K17" s="13" t="n">
        <f aca="false">IF(G17=E17,1,0)</f>
        <v>1</v>
      </c>
      <c r="L17" s="13" t="n">
        <f aca="false">IF(F17=C17,1,0)</f>
        <v>1</v>
      </c>
    </row>
    <row r="18" customFormat="false" ht="13.8" hidden="false" customHeight="false" outlineLevel="0" collapsed="false">
      <c r="A18" s="3" t="n">
        <v>17</v>
      </c>
      <c r="B18" s="3" t="s">
        <v>216</v>
      </c>
      <c r="C18" s="3" t="s">
        <v>105</v>
      </c>
      <c r="D18" s="3" t="s">
        <v>61</v>
      </c>
      <c r="E18" s="3" t="s">
        <v>61</v>
      </c>
      <c r="F18" s="3" t="s">
        <v>105</v>
      </c>
      <c r="G18" s="3" t="s">
        <v>61</v>
      </c>
      <c r="H18" s="3" t="n">
        <v>1</v>
      </c>
      <c r="I18" s="13" t="n">
        <f aca="false">IF(G18=E18,1,0)</f>
        <v>1</v>
      </c>
      <c r="K18" s="13" t="n">
        <f aca="false">IF(G18=E18,1,0)</f>
        <v>1</v>
      </c>
      <c r="L18" s="13" t="n">
        <f aca="false">IF(F18=C18,1,0)</f>
        <v>1</v>
      </c>
    </row>
    <row r="19" customFormat="false" ht="13.8" hidden="false" customHeight="false" outlineLevel="0" collapsed="false">
      <c r="A19" s="3" t="n">
        <v>18</v>
      </c>
      <c r="B19" s="3" t="s">
        <v>217</v>
      </c>
      <c r="C19" s="3" t="s">
        <v>143</v>
      </c>
      <c r="D19" s="3" t="s">
        <v>198</v>
      </c>
      <c r="E19" s="3" t="s">
        <v>67</v>
      </c>
      <c r="F19" s="3" t="s">
        <v>143</v>
      </c>
      <c r="G19" s="3" t="s">
        <v>67</v>
      </c>
      <c r="H19" s="3" t="n">
        <v>1</v>
      </c>
      <c r="I19" s="13" t="n">
        <f aca="false">IF(G19=E19,1,0)</f>
        <v>1</v>
      </c>
      <c r="K19" s="13" t="n">
        <f aca="false">IF(G19=E19,1,0)</f>
        <v>1</v>
      </c>
      <c r="L19" s="13" t="n">
        <f aca="false">IF(F19=C19,1,0)</f>
        <v>1</v>
      </c>
    </row>
    <row r="20" customFormat="false" ht="13.8" hidden="false" customHeight="false" outlineLevel="0" collapsed="false">
      <c r="A20" s="3" t="n">
        <v>19</v>
      </c>
      <c r="B20" s="3" t="s">
        <v>218</v>
      </c>
      <c r="C20" s="3" t="s">
        <v>105</v>
      </c>
      <c r="D20" s="3" t="s">
        <v>61</v>
      </c>
      <c r="E20" s="3" t="s">
        <v>61</v>
      </c>
      <c r="F20" s="3" t="s">
        <v>105</v>
      </c>
      <c r="G20" s="3" t="s">
        <v>61</v>
      </c>
      <c r="H20" s="3" t="n">
        <v>1</v>
      </c>
      <c r="I20" s="13" t="n">
        <f aca="false">IF(G20=E20,1,0)</f>
        <v>1</v>
      </c>
      <c r="K20" s="13" t="n">
        <f aca="false">IF(G20=E20,1,0)</f>
        <v>1</v>
      </c>
      <c r="L20" s="13" t="n">
        <f aca="false">IF(F20=C20,1,0)</f>
        <v>1</v>
      </c>
    </row>
    <row r="21" customFormat="false" ht="13.8" hidden="false" customHeight="false" outlineLevel="0" collapsed="false">
      <c r="A21" s="3" t="n">
        <v>20</v>
      </c>
      <c r="B21" s="3" t="s">
        <v>219</v>
      </c>
      <c r="C21" s="3" t="s">
        <v>143</v>
      </c>
      <c r="D21" s="3" t="s">
        <v>198</v>
      </c>
      <c r="E21" s="3" t="s">
        <v>67</v>
      </c>
      <c r="F21" s="3" t="s">
        <v>143</v>
      </c>
      <c r="G21" s="3" t="s">
        <v>67</v>
      </c>
      <c r="H21" s="3" t="n">
        <v>1</v>
      </c>
      <c r="I21" s="13" t="n">
        <f aca="false">IF(G21=E21,1,0)</f>
        <v>1</v>
      </c>
      <c r="K21" s="13" t="n">
        <f aca="false">IF(G21=E21,1,0)</f>
        <v>1</v>
      </c>
      <c r="L21" s="13" t="n">
        <f aca="false">IF(F21=C21,1,0)</f>
        <v>1</v>
      </c>
    </row>
    <row r="22" customFormat="false" ht="13.8" hidden="false" customHeight="false" outlineLevel="0" collapsed="false">
      <c r="A22" s="3" t="n">
        <v>21</v>
      </c>
      <c r="B22" s="3" t="s">
        <v>220</v>
      </c>
      <c r="C22" s="3" t="s">
        <v>105</v>
      </c>
      <c r="D22" s="3" t="s">
        <v>61</v>
      </c>
      <c r="E22" s="3" t="s">
        <v>61</v>
      </c>
      <c r="F22" s="3" t="s">
        <v>105</v>
      </c>
      <c r="G22" s="3" t="s">
        <v>61</v>
      </c>
      <c r="H22" s="3" t="n">
        <v>1</v>
      </c>
      <c r="I22" s="13" t="n">
        <f aca="false">IF(G22=E22,1,0)</f>
        <v>1</v>
      </c>
      <c r="K22" s="13" t="n">
        <f aca="false">IF(G22=E22,1,0)</f>
        <v>1</v>
      </c>
      <c r="L22" s="13" t="n">
        <f aca="false">IF(F22=C22,1,0)</f>
        <v>1</v>
      </c>
    </row>
    <row r="23" customFormat="false" ht="13.8" hidden="false" customHeight="false" outlineLevel="0" collapsed="false">
      <c r="A23" s="3" t="n">
        <v>22</v>
      </c>
      <c r="B23" s="3" t="s">
        <v>221</v>
      </c>
      <c r="C23" s="3" t="s">
        <v>105</v>
      </c>
      <c r="D23" s="3" t="s">
        <v>61</v>
      </c>
      <c r="E23" s="3" t="s">
        <v>61</v>
      </c>
      <c r="F23" s="3" t="s">
        <v>105</v>
      </c>
      <c r="G23" s="3" t="s">
        <v>61</v>
      </c>
      <c r="H23" s="3" t="n">
        <v>1</v>
      </c>
      <c r="I23" s="13" t="n">
        <f aca="false">IF(G23=E23,1,0)</f>
        <v>1</v>
      </c>
      <c r="K23" s="13" t="n">
        <f aca="false">IF(G23=E23,1,0)</f>
        <v>1</v>
      </c>
      <c r="L23" s="13" t="n">
        <f aca="false">IF(F23=C23,1,0)</f>
        <v>1</v>
      </c>
    </row>
    <row r="24" customFormat="false" ht="13.8" hidden="false" customHeight="false" outlineLevel="0" collapsed="false">
      <c r="A24" s="3" t="n">
        <v>23</v>
      </c>
      <c r="B24" s="3" t="s">
        <v>222</v>
      </c>
      <c r="C24" s="3" t="s">
        <v>150</v>
      </c>
      <c r="D24" s="3" t="s">
        <v>75</v>
      </c>
      <c r="E24" s="3" t="s">
        <v>75</v>
      </c>
      <c r="F24" s="3" t="s">
        <v>150</v>
      </c>
      <c r="G24" s="3" t="s">
        <v>75</v>
      </c>
      <c r="H24" s="3" t="n">
        <v>1</v>
      </c>
      <c r="I24" s="13" t="n">
        <f aca="false">IF(G24=E24,1,0)</f>
        <v>1</v>
      </c>
      <c r="K24" s="13" t="n">
        <f aca="false">IF(G24=E24,1,0)</f>
        <v>1</v>
      </c>
      <c r="L24" s="13" t="n">
        <f aca="false">IF(F24=C24,1,0)</f>
        <v>1</v>
      </c>
    </row>
    <row r="25" customFormat="false" ht="13.8" hidden="false" customHeight="false" outlineLevel="0" collapsed="false">
      <c r="A25" s="3" t="n">
        <v>24</v>
      </c>
      <c r="B25" s="3" t="s">
        <v>223</v>
      </c>
      <c r="C25" s="3" t="s">
        <v>143</v>
      </c>
      <c r="D25" s="3" t="s">
        <v>198</v>
      </c>
      <c r="E25" s="3" t="s">
        <v>67</v>
      </c>
      <c r="F25" s="3" t="s">
        <v>143</v>
      </c>
      <c r="G25" s="3" t="s">
        <v>67</v>
      </c>
      <c r="H25" s="3" t="n">
        <v>1</v>
      </c>
      <c r="I25" s="13" t="n">
        <f aca="false">IF(G25=E25,1,0)</f>
        <v>1</v>
      </c>
      <c r="K25" s="13" t="n">
        <f aca="false">IF(G25=E25,1,0)</f>
        <v>1</v>
      </c>
      <c r="L25" s="13" t="n">
        <f aca="false">IF(F25=C25,1,0)</f>
        <v>1</v>
      </c>
    </row>
    <row r="26" customFormat="false" ht="13.8" hidden="false" customHeight="false" outlineLevel="0" collapsed="false">
      <c r="A26" s="3" t="n">
        <v>25</v>
      </c>
      <c r="B26" s="3" t="s">
        <v>224</v>
      </c>
      <c r="C26" s="3" t="s">
        <v>143</v>
      </c>
      <c r="D26" s="3" t="s">
        <v>198</v>
      </c>
      <c r="E26" s="3" t="s">
        <v>67</v>
      </c>
      <c r="F26" s="3" t="s">
        <v>143</v>
      </c>
      <c r="G26" s="3" t="s">
        <v>67</v>
      </c>
      <c r="H26" s="3" t="n">
        <v>1</v>
      </c>
      <c r="I26" s="13" t="n">
        <f aca="false">IF(G26=E26,1,0)</f>
        <v>1</v>
      </c>
      <c r="K26" s="13" t="n">
        <f aca="false">IF(G26=E26,1,0)</f>
        <v>1</v>
      </c>
      <c r="L26" s="13" t="n">
        <f aca="false">IF(F26=C26,1,0)</f>
        <v>1</v>
      </c>
    </row>
    <row r="27" customFormat="false" ht="13.8" hidden="false" customHeight="false" outlineLevel="0" collapsed="false">
      <c r="A27" s="3" t="n">
        <v>26</v>
      </c>
      <c r="B27" s="3" t="s">
        <v>225</v>
      </c>
      <c r="C27" s="3" t="s">
        <v>143</v>
      </c>
      <c r="D27" s="3" t="s">
        <v>198</v>
      </c>
      <c r="E27" s="3" t="s">
        <v>67</v>
      </c>
      <c r="F27" s="3" t="s">
        <v>143</v>
      </c>
      <c r="G27" s="3" t="s">
        <v>67</v>
      </c>
      <c r="H27" s="3" t="n">
        <v>1</v>
      </c>
      <c r="I27" s="13" t="n">
        <f aca="false">IF(G27=E27,1,0)</f>
        <v>1</v>
      </c>
      <c r="K27" s="13" t="n">
        <f aca="false">IF(G27=E27,1,0)</f>
        <v>1</v>
      </c>
      <c r="L27" s="13" t="n">
        <f aca="false">IF(F27=C27,1,0)</f>
        <v>1</v>
      </c>
    </row>
    <row r="28" customFormat="false" ht="13.8" hidden="false" customHeight="false" outlineLevel="0" collapsed="false">
      <c r="A28" s="3" t="n">
        <v>27</v>
      </c>
      <c r="B28" s="3" t="s">
        <v>226</v>
      </c>
      <c r="C28" s="3" t="s">
        <v>143</v>
      </c>
      <c r="D28" s="3" t="s">
        <v>198</v>
      </c>
      <c r="E28" s="3" t="s">
        <v>67</v>
      </c>
      <c r="F28" s="3" t="s">
        <v>143</v>
      </c>
      <c r="G28" s="3" t="s">
        <v>67</v>
      </c>
      <c r="H28" s="3" t="n">
        <v>1</v>
      </c>
      <c r="I28" s="13" t="n">
        <f aca="false">IF(G28=E28,1,0)</f>
        <v>1</v>
      </c>
      <c r="K28" s="13" t="n">
        <f aca="false">IF(G28=E28,1,0)</f>
        <v>1</v>
      </c>
      <c r="L28" s="13" t="n">
        <f aca="false">IF(F28=C28,1,0)</f>
        <v>1</v>
      </c>
    </row>
    <row r="29" customFormat="false" ht="13.8" hidden="false" customHeight="false" outlineLevel="0" collapsed="false">
      <c r="A29" s="3" t="n">
        <v>28</v>
      </c>
      <c r="B29" s="3" t="s">
        <v>227</v>
      </c>
      <c r="C29" s="3" t="s">
        <v>105</v>
      </c>
      <c r="D29" s="3" t="s">
        <v>61</v>
      </c>
      <c r="E29" s="3" t="s">
        <v>61</v>
      </c>
      <c r="F29" s="3" t="s">
        <v>105</v>
      </c>
      <c r="G29" s="3" t="s">
        <v>61</v>
      </c>
      <c r="H29" s="3" t="n">
        <v>1</v>
      </c>
      <c r="I29" s="13" t="n">
        <f aca="false">IF(G29=E29,1,0)</f>
        <v>1</v>
      </c>
      <c r="K29" s="13" t="n">
        <f aca="false">IF(G29=E29,1,0)</f>
        <v>1</v>
      </c>
      <c r="L29" s="13" t="n">
        <f aca="false">IF(F29=C29,1,0)</f>
        <v>1</v>
      </c>
    </row>
    <row r="30" customFormat="false" ht="13.8" hidden="false" customHeight="false" outlineLevel="0" collapsed="false">
      <c r="A30" s="3" t="n">
        <v>29</v>
      </c>
      <c r="B30" s="3" t="s">
        <v>228</v>
      </c>
      <c r="C30" s="3" t="s">
        <v>105</v>
      </c>
      <c r="D30" s="3" t="s">
        <v>61</v>
      </c>
      <c r="E30" s="3" t="s">
        <v>61</v>
      </c>
      <c r="F30" s="3" t="s">
        <v>105</v>
      </c>
      <c r="G30" s="3" t="s">
        <v>61</v>
      </c>
      <c r="H30" s="3" t="n">
        <v>1</v>
      </c>
      <c r="I30" s="13" t="n">
        <f aca="false">IF(G30=E30,1,0)</f>
        <v>1</v>
      </c>
      <c r="K30" s="13" t="n">
        <f aca="false">IF(G30=E30,1,0)</f>
        <v>1</v>
      </c>
      <c r="L30" s="13" t="n">
        <f aca="false">IF(F30=C30,1,0)</f>
        <v>1</v>
      </c>
    </row>
    <row r="31" customFormat="false" ht="13.8" hidden="false" customHeight="false" outlineLevel="0" collapsed="false">
      <c r="A31" s="3" t="n">
        <v>30</v>
      </c>
      <c r="B31" s="3" t="s">
        <v>229</v>
      </c>
      <c r="C31" s="3" t="s">
        <v>105</v>
      </c>
      <c r="D31" s="3" t="s">
        <v>61</v>
      </c>
      <c r="E31" s="3" t="s">
        <v>61</v>
      </c>
      <c r="F31" s="3" t="s">
        <v>105</v>
      </c>
      <c r="G31" s="3" t="s">
        <v>61</v>
      </c>
      <c r="H31" s="3" t="n">
        <v>1</v>
      </c>
      <c r="I31" s="13" t="n">
        <f aca="false">IF(G31=E31,1,0)</f>
        <v>1</v>
      </c>
      <c r="K31" s="13" t="n">
        <f aca="false">IF(G31=E31,1,0)</f>
        <v>1</v>
      </c>
      <c r="L31" s="13" t="n">
        <f aca="false">IF(F31=C31,1,0)</f>
        <v>1</v>
      </c>
    </row>
    <row r="32" customFormat="false" ht="13.8" hidden="false" customHeight="false" outlineLevel="0" collapsed="false">
      <c r="A32" s="3" t="n">
        <v>31</v>
      </c>
      <c r="B32" s="3" t="s">
        <v>230</v>
      </c>
      <c r="C32" s="3" t="s">
        <v>105</v>
      </c>
      <c r="D32" s="3" t="s">
        <v>61</v>
      </c>
      <c r="E32" s="3" t="s">
        <v>61</v>
      </c>
      <c r="F32" s="3" t="s">
        <v>105</v>
      </c>
      <c r="G32" s="3" t="s">
        <v>61</v>
      </c>
      <c r="H32" s="3" t="n">
        <v>1</v>
      </c>
      <c r="I32" s="13" t="n">
        <f aca="false">IF(G32=E32,1,0)</f>
        <v>1</v>
      </c>
      <c r="K32" s="13" t="n">
        <f aca="false">IF(G32=E32,1,0)</f>
        <v>1</v>
      </c>
      <c r="L32" s="13" t="n">
        <f aca="false">IF(F32=C32,1,0)</f>
        <v>1</v>
      </c>
    </row>
    <row r="33" customFormat="false" ht="13.8" hidden="false" customHeight="false" outlineLevel="0" collapsed="false">
      <c r="A33" s="3" t="n">
        <v>32</v>
      </c>
      <c r="B33" s="3" t="s">
        <v>231</v>
      </c>
      <c r="C33" s="3" t="s">
        <v>105</v>
      </c>
      <c r="D33" s="3" t="s">
        <v>61</v>
      </c>
      <c r="E33" s="3" t="s">
        <v>61</v>
      </c>
      <c r="F33" s="3" t="s">
        <v>105</v>
      </c>
      <c r="G33" s="3" t="s">
        <v>61</v>
      </c>
      <c r="H33" s="3" t="n">
        <v>1</v>
      </c>
      <c r="I33" s="13" t="n">
        <f aca="false">IF(G33=E33,1,0)</f>
        <v>1</v>
      </c>
      <c r="K33" s="13" t="n">
        <f aca="false">IF(G33=E33,1,0)</f>
        <v>1</v>
      </c>
      <c r="L33" s="13" t="n">
        <f aca="false">IF(F33=C33,1,0)</f>
        <v>1</v>
      </c>
    </row>
    <row r="34" customFormat="false" ht="13.8" hidden="false" customHeight="false" outlineLevel="0" collapsed="false">
      <c r="A34" s="3" t="n">
        <v>33</v>
      </c>
      <c r="B34" s="3" t="s">
        <v>232</v>
      </c>
      <c r="C34" s="3" t="s">
        <v>143</v>
      </c>
      <c r="D34" s="3" t="s">
        <v>198</v>
      </c>
      <c r="E34" s="3" t="s">
        <v>67</v>
      </c>
      <c r="F34" s="3" t="s">
        <v>143</v>
      </c>
      <c r="G34" s="3" t="s">
        <v>67</v>
      </c>
      <c r="H34" s="3" t="n">
        <v>1</v>
      </c>
      <c r="I34" s="13" t="n">
        <f aca="false">IF(G34=E34,1,0)</f>
        <v>1</v>
      </c>
      <c r="K34" s="13" t="n">
        <f aca="false">IF(G34=E34,1,0)</f>
        <v>1</v>
      </c>
      <c r="L34" s="13" t="n">
        <f aca="false">IF(F34=C34,1,0)</f>
        <v>1</v>
      </c>
    </row>
    <row r="35" customFormat="false" ht="13.8" hidden="false" customHeight="false" outlineLevel="0" collapsed="false">
      <c r="A35" s="3" t="n">
        <v>34</v>
      </c>
      <c r="B35" s="3" t="s">
        <v>233</v>
      </c>
      <c r="C35" s="3" t="s">
        <v>143</v>
      </c>
      <c r="D35" s="3" t="s">
        <v>198</v>
      </c>
      <c r="E35" s="3" t="s">
        <v>67</v>
      </c>
      <c r="F35" s="3" t="s">
        <v>143</v>
      </c>
      <c r="G35" s="3" t="s">
        <v>67</v>
      </c>
      <c r="H35" s="3" t="n">
        <v>1</v>
      </c>
      <c r="I35" s="13" t="n">
        <f aca="false">IF(G35=E35,1,0)</f>
        <v>1</v>
      </c>
      <c r="K35" s="13" t="n">
        <f aca="false">IF(G35=E35,1,0)</f>
        <v>1</v>
      </c>
      <c r="L35" s="13" t="n">
        <f aca="false">IF(F35=C35,1,0)</f>
        <v>1</v>
      </c>
    </row>
    <row r="36" customFormat="false" ht="13.8" hidden="false" customHeight="false" outlineLevel="0" collapsed="false">
      <c r="A36" s="3" t="n">
        <v>35</v>
      </c>
      <c r="B36" s="3" t="s">
        <v>234</v>
      </c>
      <c r="C36" s="3" t="s">
        <v>143</v>
      </c>
      <c r="D36" s="3" t="s">
        <v>198</v>
      </c>
      <c r="E36" s="3" t="s">
        <v>67</v>
      </c>
      <c r="F36" s="3" t="s">
        <v>143</v>
      </c>
      <c r="G36" s="3" t="s">
        <v>67</v>
      </c>
      <c r="H36" s="3" t="n">
        <v>1</v>
      </c>
      <c r="I36" s="13" t="n">
        <f aca="false">IF(G36=E36,1,0)</f>
        <v>1</v>
      </c>
      <c r="K36" s="13" t="n">
        <f aca="false">IF(G36=E36,1,0)</f>
        <v>1</v>
      </c>
      <c r="L36" s="13" t="n">
        <f aca="false">IF(F36=C36,1,0)</f>
        <v>1</v>
      </c>
    </row>
    <row r="37" customFormat="false" ht="13.8" hidden="false" customHeight="false" outlineLevel="0" collapsed="false">
      <c r="A37" s="3" t="n">
        <v>36</v>
      </c>
      <c r="B37" s="3" t="s">
        <v>235</v>
      </c>
      <c r="C37" s="3" t="s">
        <v>105</v>
      </c>
      <c r="D37" s="3" t="s">
        <v>61</v>
      </c>
      <c r="E37" s="3" t="s">
        <v>61</v>
      </c>
      <c r="F37" s="3" t="s">
        <v>105</v>
      </c>
      <c r="G37" s="3" t="s">
        <v>61</v>
      </c>
      <c r="H37" s="3" t="n">
        <v>1</v>
      </c>
      <c r="I37" s="13" t="n">
        <f aca="false">IF(G37=E37,1,0)</f>
        <v>1</v>
      </c>
      <c r="K37" s="13" t="n">
        <f aca="false">IF(G37=E37,1,0)</f>
        <v>1</v>
      </c>
      <c r="L37" s="13" t="n">
        <f aca="false">IF(F37=C37,1,0)</f>
        <v>1</v>
      </c>
    </row>
    <row r="38" customFormat="false" ht="13.8" hidden="false" customHeight="false" outlineLevel="0" collapsed="false">
      <c r="A38" s="3" t="n">
        <v>37</v>
      </c>
      <c r="B38" s="3" t="s">
        <v>236</v>
      </c>
      <c r="C38" s="3" t="s">
        <v>105</v>
      </c>
      <c r="D38" s="3" t="s">
        <v>61</v>
      </c>
      <c r="E38" s="3" t="s">
        <v>61</v>
      </c>
      <c r="F38" s="3" t="s">
        <v>105</v>
      </c>
      <c r="G38" s="3" t="s">
        <v>61</v>
      </c>
      <c r="H38" s="3" t="n">
        <v>1</v>
      </c>
      <c r="I38" s="13" t="n">
        <f aca="false">IF(G38=E38,1,0)</f>
        <v>1</v>
      </c>
      <c r="K38" s="13" t="n">
        <f aca="false">IF(G38=E38,1,0)</f>
        <v>1</v>
      </c>
      <c r="L38" s="13" t="n">
        <f aca="false">IF(F38=C38,1,0)</f>
        <v>1</v>
      </c>
    </row>
    <row r="39" customFormat="false" ht="13.8" hidden="false" customHeight="false" outlineLevel="0" collapsed="false">
      <c r="A39" s="3" t="n">
        <v>38</v>
      </c>
      <c r="B39" s="3" t="s">
        <v>237</v>
      </c>
      <c r="C39" s="3" t="s">
        <v>105</v>
      </c>
      <c r="D39" s="3" t="s">
        <v>77</v>
      </c>
      <c r="E39" s="3" t="s">
        <v>77</v>
      </c>
      <c r="F39" s="3" t="s">
        <v>105</v>
      </c>
      <c r="G39" s="3" t="s">
        <v>77</v>
      </c>
      <c r="H39" s="3" t="n">
        <v>1</v>
      </c>
      <c r="I39" s="13" t="n">
        <f aca="false">IF(G39=E39,1,0)</f>
        <v>1</v>
      </c>
      <c r="K39" s="13" t="n">
        <f aca="false">IF(G39=E39,1,0)</f>
        <v>1</v>
      </c>
      <c r="L39" s="13" t="n">
        <f aca="false">IF(F39=C39,1,0)</f>
        <v>1</v>
      </c>
    </row>
    <row r="40" customFormat="false" ht="13.8" hidden="false" customHeight="false" outlineLevel="0" collapsed="false">
      <c r="A40" s="3" t="n">
        <v>39</v>
      </c>
      <c r="B40" s="3" t="s">
        <v>238</v>
      </c>
      <c r="C40" s="3" t="s">
        <v>143</v>
      </c>
      <c r="D40" s="3" t="s">
        <v>198</v>
      </c>
      <c r="E40" s="3" t="s">
        <v>67</v>
      </c>
      <c r="F40" s="3" t="s">
        <v>143</v>
      </c>
      <c r="G40" s="3" t="s">
        <v>67</v>
      </c>
      <c r="H40" s="3" t="n">
        <v>1</v>
      </c>
      <c r="I40" s="13" t="n">
        <f aca="false">IF(G40=E40,1,0)</f>
        <v>1</v>
      </c>
      <c r="K40" s="13" t="n">
        <f aca="false">IF(G40=E40,1,0)</f>
        <v>1</v>
      </c>
      <c r="L40" s="13" t="n">
        <f aca="false">IF(F40=C40,1,0)</f>
        <v>1</v>
      </c>
    </row>
    <row r="41" customFormat="false" ht="13.8" hidden="false" customHeight="false" outlineLevel="0" collapsed="false">
      <c r="A41" s="3" t="n">
        <v>40</v>
      </c>
      <c r="B41" s="3" t="s">
        <v>239</v>
      </c>
      <c r="C41" s="3" t="s">
        <v>105</v>
      </c>
      <c r="D41" s="3" t="s">
        <v>55</v>
      </c>
      <c r="E41" s="3" t="s">
        <v>55</v>
      </c>
      <c r="F41" s="3" t="s">
        <v>105</v>
      </c>
      <c r="G41" s="3" t="s">
        <v>55</v>
      </c>
      <c r="H41" s="3" t="n">
        <v>1</v>
      </c>
      <c r="I41" s="13" t="n">
        <f aca="false">IF(G41=E41,1,0)</f>
        <v>1</v>
      </c>
      <c r="K41" s="13" t="n">
        <f aca="false">IF(G41=E41,1,0)</f>
        <v>1</v>
      </c>
      <c r="L41" s="13" t="n">
        <f aca="false">IF(F41=C41,1,0)</f>
        <v>1</v>
      </c>
    </row>
    <row r="42" customFormat="false" ht="13.8" hidden="false" customHeight="false" outlineLevel="0" collapsed="false">
      <c r="A42" s="3" t="n">
        <v>41</v>
      </c>
      <c r="B42" s="3" t="s">
        <v>240</v>
      </c>
      <c r="C42" s="3" t="s">
        <v>105</v>
      </c>
      <c r="D42" s="3" t="s">
        <v>77</v>
      </c>
      <c r="E42" s="3" t="s">
        <v>77</v>
      </c>
      <c r="F42" s="3" t="s">
        <v>105</v>
      </c>
      <c r="G42" s="3" t="s">
        <v>77</v>
      </c>
      <c r="H42" s="3" t="n">
        <v>1</v>
      </c>
      <c r="I42" s="13" t="n">
        <f aca="false">IF(G42=E42,1,0)</f>
        <v>1</v>
      </c>
      <c r="K42" s="13" t="n">
        <f aca="false">IF(G42=E42,1,0)</f>
        <v>1</v>
      </c>
      <c r="L42" s="13" t="n">
        <f aca="false">IF(F42=C42,1,0)</f>
        <v>1</v>
      </c>
    </row>
    <row r="43" customFormat="false" ht="13.8" hidden="false" customHeight="false" outlineLevel="0" collapsed="false">
      <c r="A43" s="3" t="n">
        <v>42</v>
      </c>
      <c r="B43" s="3" t="s">
        <v>241</v>
      </c>
      <c r="C43" s="3" t="s">
        <v>143</v>
      </c>
      <c r="D43" s="3" t="s">
        <v>198</v>
      </c>
      <c r="E43" s="3" t="s">
        <v>67</v>
      </c>
      <c r="F43" s="3" t="s">
        <v>143</v>
      </c>
      <c r="G43" s="3" t="s">
        <v>67</v>
      </c>
      <c r="H43" s="3" t="n">
        <v>1</v>
      </c>
      <c r="I43" s="13" t="n">
        <f aca="false">IF(G43=E43,1,0)</f>
        <v>1</v>
      </c>
      <c r="K43" s="13" t="n">
        <f aca="false">IF(G43=E43,1,0)</f>
        <v>1</v>
      </c>
      <c r="L43" s="13" t="n">
        <f aca="false">IF(F43=C43,1,0)</f>
        <v>1</v>
      </c>
    </row>
    <row r="44" customFormat="false" ht="13.8" hidden="false" customHeight="false" outlineLevel="0" collapsed="false">
      <c r="A44" s="3" t="n">
        <v>43</v>
      </c>
      <c r="B44" s="3" t="s">
        <v>242</v>
      </c>
      <c r="C44" s="3" t="s">
        <v>105</v>
      </c>
      <c r="D44" s="3" t="s">
        <v>61</v>
      </c>
      <c r="E44" s="3" t="s">
        <v>61</v>
      </c>
      <c r="F44" s="3" t="s">
        <v>105</v>
      </c>
      <c r="G44" s="3" t="s">
        <v>61</v>
      </c>
      <c r="H44" s="3" t="n">
        <v>1</v>
      </c>
      <c r="I44" s="13" t="n">
        <f aca="false">IF(G44=E44,1,0)</f>
        <v>1</v>
      </c>
      <c r="K44" s="13" t="n">
        <f aca="false">IF(G44=E44,1,0)</f>
        <v>1</v>
      </c>
      <c r="L44" s="13" t="n">
        <f aca="false">IF(F44=C44,1,0)</f>
        <v>1</v>
      </c>
    </row>
    <row r="45" customFormat="false" ht="13.8" hidden="false" customHeight="false" outlineLevel="0" collapsed="false">
      <c r="A45" s="3" t="n">
        <v>44</v>
      </c>
      <c r="B45" s="3" t="s">
        <v>243</v>
      </c>
      <c r="C45" s="3" t="s">
        <v>105</v>
      </c>
      <c r="D45" s="3" t="s">
        <v>61</v>
      </c>
      <c r="E45" s="3" t="s">
        <v>61</v>
      </c>
      <c r="F45" s="3" t="s">
        <v>105</v>
      </c>
      <c r="G45" s="3" t="s">
        <v>61</v>
      </c>
      <c r="H45" s="3" t="n">
        <v>1</v>
      </c>
      <c r="I45" s="13" t="n">
        <f aca="false">IF(G45=E45,1,0)</f>
        <v>1</v>
      </c>
      <c r="K45" s="13" t="n">
        <f aca="false">IF(G45=E45,1,0)</f>
        <v>1</v>
      </c>
      <c r="L45" s="13" t="n">
        <f aca="false">IF(F45=C45,1,0)</f>
        <v>1</v>
      </c>
    </row>
    <row r="46" customFormat="false" ht="13.8" hidden="false" customHeight="false" outlineLevel="0" collapsed="false">
      <c r="A46" s="3" t="n">
        <v>45</v>
      </c>
      <c r="B46" s="3" t="s">
        <v>244</v>
      </c>
      <c r="C46" s="3" t="s">
        <v>150</v>
      </c>
      <c r="D46" s="3" t="s">
        <v>245</v>
      </c>
      <c r="E46" s="3" t="s">
        <v>83</v>
      </c>
      <c r="F46" s="3" t="s">
        <v>150</v>
      </c>
      <c r="G46" s="3" t="s">
        <v>83</v>
      </c>
      <c r="H46" s="3" t="n">
        <v>1</v>
      </c>
      <c r="I46" s="13" t="n">
        <f aca="false">IF(G46=E46,1,0)</f>
        <v>1</v>
      </c>
      <c r="K46" s="13" t="n">
        <f aca="false">IF(G46=E46,1,0)</f>
        <v>1</v>
      </c>
      <c r="L46" s="13" t="n">
        <f aca="false">IF(F46=C46,1,0)</f>
        <v>1</v>
      </c>
    </row>
    <row r="47" customFormat="false" ht="13.8" hidden="false" customHeight="false" outlineLevel="0" collapsed="false">
      <c r="A47" s="3" t="n">
        <v>46</v>
      </c>
      <c r="B47" s="3" t="s">
        <v>246</v>
      </c>
      <c r="C47" s="3" t="s">
        <v>105</v>
      </c>
      <c r="D47" s="3" t="s">
        <v>61</v>
      </c>
      <c r="E47" s="3" t="s">
        <v>61</v>
      </c>
      <c r="F47" s="3" t="s">
        <v>105</v>
      </c>
      <c r="G47" s="3" t="s">
        <v>61</v>
      </c>
      <c r="H47" s="3" t="n">
        <v>1</v>
      </c>
      <c r="I47" s="13" t="n">
        <f aca="false">IF(G47=E47,1,0)</f>
        <v>1</v>
      </c>
      <c r="K47" s="13" t="n">
        <f aca="false">IF(G47=E47,1,0)</f>
        <v>1</v>
      </c>
      <c r="L47" s="13" t="n">
        <f aca="false">IF(F47=C47,1,0)</f>
        <v>1</v>
      </c>
    </row>
    <row r="48" customFormat="false" ht="13.8" hidden="false" customHeight="false" outlineLevel="0" collapsed="false">
      <c r="A48" s="3" t="n">
        <v>47</v>
      </c>
      <c r="B48" s="3" t="s">
        <v>247</v>
      </c>
      <c r="C48" s="3" t="s">
        <v>105</v>
      </c>
      <c r="D48" s="3" t="s">
        <v>77</v>
      </c>
      <c r="E48" s="3" t="s">
        <v>77</v>
      </c>
      <c r="F48" s="3" t="s">
        <v>105</v>
      </c>
      <c r="G48" s="3" t="s">
        <v>77</v>
      </c>
      <c r="H48" s="3" t="n">
        <v>1</v>
      </c>
      <c r="I48" s="13" t="n">
        <f aca="false">IF(G48=E48,1,0)</f>
        <v>1</v>
      </c>
      <c r="K48" s="13" t="n">
        <f aca="false">IF(G48=E48,1,0)</f>
        <v>1</v>
      </c>
      <c r="L48" s="13" t="n">
        <f aca="false">IF(F48=C48,1,0)</f>
        <v>1</v>
      </c>
    </row>
    <row r="49" customFormat="false" ht="13.8" hidden="false" customHeight="false" outlineLevel="0" collapsed="false">
      <c r="A49" s="3" t="n">
        <v>48</v>
      </c>
      <c r="B49" s="3" t="s">
        <v>248</v>
      </c>
      <c r="C49" s="3" t="s">
        <v>150</v>
      </c>
      <c r="D49" s="3" t="s">
        <v>75</v>
      </c>
      <c r="E49" s="3" t="s">
        <v>75</v>
      </c>
      <c r="F49" s="3" t="s">
        <v>150</v>
      </c>
      <c r="G49" s="3" t="s">
        <v>75</v>
      </c>
      <c r="H49" s="3" t="n">
        <v>1</v>
      </c>
      <c r="I49" s="13" t="n">
        <f aca="false">IF(G49=E49,1,0)</f>
        <v>1</v>
      </c>
      <c r="K49" s="13" t="n">
        <f aca="false">IF(G49=E49,1,0)</f>
        <v>1</v>
      </c>
      <c r="L49" s="13" t="n">
        <f aca="false">IF(F49=C49,1,0)</f>
        <v>1</v>
      </c>
    </row>
    <row r="50" customFormat="false" ht="13.8" hidden="false" customHeight="false" outlineLevel="0" collapsed="false">
      <c r="A50" s="3" t="n">
        <v>49</v>
      </c>
      <c r="B50" s="3" t="s">
        <v>249</v>
      </c>
      <c r="C50" s="3" t="s">
        <v>143</v>
      </c>
      <c r="D50" s="3" t="s">
        <v>198</v>
      </c>
      <c r="E50" s="3" t="s">
        <v>67</v>
      </c>
      <c r="F50" s="3" t="s">
        <v>143</v>
      </c>
      <c r="G50" s="3" t="s">
        <v>67</v>
      </c>
      <c r="H50" s="3" t="n">
        <v>1</v>
      </c>
      <c r="I50" s="13" t="n">
        <f aca="false">IF(G50=E50,1,0)</f>
        <v>1</v>
      </c>
      <c r="K50" s="13" t="n">
        <f aca="false">IF(G50=E50,1,0)</f>
        <v>1</v>
      </c>
      <c r="L50" s="13" t="n">
        <f aca="false">IF(F50=C50,1,0)</f>
        <v>1</v>
      </c>
    </row>
    <row r="51" customFormat="false" ht="13.8" hidden="false" customHeight="false" outlineLevel="0" collapsed="false">
      <c r="A51" s="3" t="n">
        <v>50</v>
      </c>
      <c r="B51" s="3" t="s">
        <v>250</v>
      </c>
      <c r="C51" s="3" t="s">
        <v>143</v>
      </c>
      <c r="D51" s="3" t="s">
        <v>198</v>
      </c>
      <c r="E51" s="3" t="s">
        <v>67</v>
      </c>
      <c r="F51" s="3" t="s">
        <v>143</v>
      </c>
      <c r="G51" s="3" t="s">
        <v>67</v>
      </c>
      <c r="H51" s="3" t="n">
        <v>1</v>
      </c>
      <c r="I51" s="13" t="n">
        <f aca="false">IF(G51=E51,1,0)</f>
        <v>1</v>
      </c>
      <c r="K51" s="13" t="n">
        <f aca="false">IF(G51=E51,1,0)</f>
        <v>1</v>
      </c>
      <c r="L51" s="13" t="n">
        <f aca="false">IF(F51=C51,1,0)</f>
        <v>1</v>
      </c>
    </row>
    <row r="52" customFormat="false" ht="13.8" hidden="false" customHeight="false" outlineLevel="0" collapsed="false">
      <c r="A52" s="3" t="n">
        <v>51</v>
      </c>
      <c r="B52" s="3" t="s">
        <v>251</v>
      </c>
      <c r="C52" s="3" t="s">
        <v>150</v>
      </c>
      <c r="D52" s="3" t="s">
        <v>75</v>
      </c>
      <c r="E52" s="3" t="s">
        <v>75</v>
      </c>
      <c r="F52" s="3" t="s">
        <v>150</v>
      </c>
      <c r="G52" s="3" t="s">
        <v>75</v>
      </c>
      <c r="H52" s="3" t="n">
        <v>1</v>
      </c>
      <c r="I52" s="13" t="n">
        <f aca="false">IF(G52=E52,1,0)</f>
        <v>1</v>
      </c>
      <c r="K52" s="13" t="n">
        <f aca="false">IF(G52=E52,1,0)</f>
        <v>1</v>
      </c>
      <c r="L52" s="13" t="n">
        <f aca="false">IF(F52=C52,1,0)</f>
        <v>1</v>
      </c>
    </row>
    <row r="53" customFormat="false" ht="13.8" hidden="false" customHeight="false" outlineLevel="0" collapsed="false">
      <c r="A53" s="3" t="n">
        <v>52</v>
      </c>
      <c r="B53" s="3" t="s">
        <v>252</v>
      </c>
      <c r="C53" s="3" t="s">
        <v>105</v>
      </c>
      <c r="D53" s="3" t="s">
        <v>61</v>
      </c>
      <c r="E53" s="3" t="s">
        <v>61</v>
      </c>
      <c r="F53" s="3" t="s">
        <v>105</v>
      </c>
      <c r="G53" s="3" t="s">
        <v>61</v>
      </c>
      <c r="H53" s="3" t="n">
        <v>1</v>
      </c>
      <c r="I53" s="13" t="n">
        <f aca="false">IF(G53=E53,1,0)</f>
        <v>1</v>
      </c>
      <c r="K53" s="13" t="n">
        <f aca="false">IF(G53=E53,1,0)</f>
        <v>1</v>
      </c>
      <c r="L53" s="13" t="n">
        <f aca="false">IF(F53=C53,1,0)</f>
        <v>1</v>
      </c>
    </row>
    <row r="54" customFormat="false" ht="13.8" hidden="false" customHeight="false" outlineLevel="0" collapsed="false">
      <c r="A54" s="3" t="n">
        <v>53</v>
      </c>
      <c r="B54" s="3" t="s">
        <v>253</v>
      </c>
      <c r="C54" s="3" t="s">
        <v>150</v>
      </c>
      <c r="D54" s="3" t="s">
        <v>254</v>
      </c>
      <c r="E54" s="3" t="s">
        <v>85</v>
      </c>
      <c r="F54" s="3" t="s">
        <v>150</v>
      </c>
      <c r="G54" s="3" t="s">
        <v>85</v>
      </c>
      <c r="H54" s="3" t="n">
        <v>1</v>
      </c>
      <c r="I54" s="13" t="n">
        <f aca="false">IF(G54=E54,1,0)</f>
        <v>1</v>
      </c>
      <c r="K54" s="13" t="n">
        <f aca="false">IF(G54=E54,1,0)</f>
        <v>1</v>
      </c>
      <c r="L54" s="13" t="n">
        <f aca="false">IF(F54=C54,1,0)</f>
        <v>1</v>
      </c>
    </row>
    <row r="55" customFormat="false" ht="13.8" hidden="false" customHeight="false" outlineLevel="0" collapsed="false">
      <c r="A55" s="3" t="n">
        <v>54</v>
      </c>
      <c r="B55" s="3" t="s">
        <v>255</v>
      </c>
      <c r="C55" s="3" t="s">
        <v>143</v>
      </c>
      <c r="D55" s="3" t="s">
        <v>256</v>
      </c>
      <c r="E55" s="3" t="s">
        <v>256</v>
      </c>
      <c r="F55" s="3" t="s">
        <v>143</v>
      </c>
      <c r="G55" s="3" t="s">
        <v>67</v>
      </c>
      <c r="H55" s="3" t="n">
        <v>1</v>
      </c>
      <c r="I55" s="13" t="n">
        <f aca="false">IF(G55=E55,1,0)</f>
        <v>0</v>
      </c>
      <c r="J55" s="3" t="s">
        <v>257</v>
      </c>
    </row>
    <row r="56" customFormat="false" ht="13.8" hidden="false" customHeight="false" outlineLevel="0" collapsed="false">
      <c r="A56" s="3" t="n">
        <v>55</v>
      </c>
      <c r="B56" s="3" t="s">
        <v>258</v>
      </c>
      <c r="C56" s="3" t="s">
        <v>150</v>
      </c>
      <c r="D56" s="3" t="s">
        <v>245</v>
      </c>
      <c r="E56" s="3" t="s">
        <v>83</v>
      </c>
      <c r="F56" s="3" t="s">
        <v>150</v>
      </c>
      <c r="G56" s="3" t="s">
        <v>83</v>
      </c>
      <c r="H56" s="3" t="n">
        <v>1</v>
      </c>
      <c r="I56" s="13" t="n">
        <f aca="false">IF(G56=E56,1,0)</f>
        <v>1</v>
      </c>
      <c r="K56" s="13" t="n">
        <f aca="false">IF(G56=E56,1,0)</f>
        <v>1</v>
      </c>
      <c r="L56" s="13" t="n">
        <f aca="false">IF(F56=C56,1,0)</f>
        <v>1</v>
      </c>
    </row>
    <row r="57" customFormat="false" ht="13.8" hidden="false" customHeight="false" outlineLevel="0" collapsed="false">
      <c r="A57" s="3" t="n">
        <v>56</v>
      </c>
      <c r="B57" s="3" t="s">
        <v>259</v>
      </c>
      <c r="C57" s="3" t="s">
        <v>143</v>
      </c>
      <c r="D57" s="3" t="s">
        <v>198</v>
      </c>
      <c r="E57" s="3" t="s">
        <v>67</v>
      </c>
      <c r="F57" s="3" t="s">
        <v>143</v>
      </c>
      <c r="G57" s="3" t="s">
        <v>67</v>
      </c>
      <c r="H57" s="3" t="n">
        <v>1</v>
      </c>
      <c r="I57" s="13" t="n">
        <f aca="false">IF(G57=E57,1,0)</f>
        <v>1</v>
      </c>
      <c r="K57" s="13" t="n">
        <f aca="false">IF(G57=E57,1,0)</f>
        <v>1</v>
      </c>
      <c r="L57" s="13" t="n">
        <f aca="false">IF(F57=C57,1,0)</f>
        <v>1</v>
      </c>
    </row>
    <row r="58" customFormat="false" ht="13.8" hidden="false" customHeight="false" outlineLevel="0" collapsed="false">
      <c r="A58" s="3" t="n">
        <v>57</v>
      </c>
      <c r="B58" s="3" t="s">
        <v>260</v>
      </c>
      <c r="C58" s="3" t="s">
        <v>105</v>
      </c>
      <c r="D58" s="3" t="s">
        <v>77</v>
      </c>
      <c r="E58" s="3" t="s">
        <v>77</v>
      </c>
      <c r="F58" s="3" t="s">
        <v>105</v>
      </c>
      <c r="G58" s="3" t="s">
        <v>77</v>
      </c>
      <c r="H58" s="3" t="n">
        <v>1</v>
      </c>
      <c r="I58" s="13" t="n">
        <f aca="false">IF(G58=E58,1,0)</f>
        <v>1</v>
      </c>
      <c r="K58" s="13" t="n">
        <f aca="false">IF(G58=E58,1,0)</f>
        <v>1</v>
      </c>
      <c r="L58" s="13" t="n">
        <f aca="false">IF(F58=C58,1,0)</f>
        <v>1</v>
      </c>
    </row>
    <row r="59" customFormat="false" ht="13.8" hidden="false" customHeight="false" outlineLevel="0" collapsed="false">
      <c r="A59" s="3" t="n">
        <v>58</v>
      </c>
      <c r="B59" s="3" t="s">
        <v>261</v>
      </c>
      <c r="C59" s="3" t="s">
        <v>150</v>
      </c>
      <c r="D59" s="3" t="s">
        <v>245</v>
      </c>
      <c r="E59" s="3" t="s">
        <v>83</v>
      </c>
      <c r="F59" s="3" t="s">
        <v>150</v>
      </c>
      <c r="G59" s="3" t="s">
        <v>83</v>
      </c>
      <c r="H59" s="3" t="n">
        <v>1</v>
      </c>
      <c r="I59" s="13" t="n">
        <f aca="false">IF(G59=E59,1,0)</f>
        <v>1</v>
      </c>
      <c r="K59" s="13" t="n">
        <f aca="false">IF(G59=E59,1,0)</f>
        <v>1</v>
      </c>
      <c r="L59" s="13" t="n">
        <f aca="false">IF(F59=C59,1,0)</f>
        <v>1</v>
      </c>
    </row>
    <row r="60" customFormat="false" ht="13.8" hidden="false" customHeight="false" outlineLevel="0" collapsed="false">
      <c r="A60" s="3" t="n">
        <v>59</v>
      </c>
      <c r="B60" s="3" t="s">
        <v>262</v>
      </c>
      <c r="C60" s="3" t="s">
        <v>150</v>
      </c>
      <c r="D60" s="3" t="s">
        <v>75</v>
      </c>
      <c r="E60" s="3" t="s">
        <v>75</v>
      </c>
      <c r="F60" s="3" t="s">
        <v>150</v>
      </c>
      <c r="G60" s="3" t="s">
        <v>75</v>
      </c>
      <c r="H60" s="3" t="n">
        <v>1</v>
      </c>
      <c r="I60" s="13" t="n">
        <f aca="false">IF(G60=E60,1,0)</f>
        <v>1</v>
      </c>
      <c r="K60" s="13" t="n">
        <f aca="false">IF(G60=E60,1,0)</f>
        <v>1</v>
      </c>
      <c r="L60" s="13" t="n">
        <f aca="false">IF(F60=C60,1,0)</f>
        <v>1</v>
      </c>
    </row>
    <row r="61" customFormat="false" ht="13.8" hidden="false" customHeight="false" outlineLevel="0" collapsed="false">
      <c r="A61" s="3" t="n">
        <v>60</v>
      </c>
      <c r="B61" s="3" t="s">
        <v>263</v>
      </c>
      <c r="C61" s="3" t="s">
        <v>150</v>
      </c>
      <c r="D61" s="3" t="s">
        <v>254</v>
      </c>
      <c r="E61" s="3" t="s">
        <v>85</v>
      </c>
      <c r="F61" s="3" t="s">
        <v>150</v>
      </c>
      <c r="G61" s="3" t="s">
        <v>85</v>
      </c>
      <c r="H61" s="3" t="n">
        <v>1</v>
      </c>
      <c r="I61" s="13" t="n">
        <f aca="false">IF(G61=E61,1,0)</f>
        <v>1</v>
      </c>
      <c r="K61" s="13" t="n">
        <f aca="false">IF(G61=E61,1,0)</f>
        <v>1</v>
      </c>
      <c r="L61" s="13" t="n">
        <f aca="false">IF(F61=C61,1,0)</f>
        <v>1</v>
      </c>
    </row>
    <row r="62" customFormat="false" ht="13.8" hidden="false" customHeight="false" outlineLevel="0" collapsed="false">
      <c r="A62" s="3" t="n">
        <v>61</v>
      </c>
      <c r="B62" s="3" t="s">
        <v>264</v>
      </c>
      <c r="C62" s="3" t="s">
        <v>105</v>
      </c>
      <c r="D62" s="3" t="s">
        <v>61</v>
      </c>
      <c r="E62" s="3" t="s">
        <v>61</v>
      </c>
      <c r="F62" s="3" t="s">
        <v>105</v>
      </c>
      <c r="G62" s="3" t="s">
        <v>61</v>
      </c>
      <c r="H62" s="3" t="n">
        <v>1</v>
      </c>
      <c r="I62" s="13" t="n">
        <f aca="false">IF(G62=E62,1,0)</f>
        <v>1</v>
      </c>
      <c r="K62" s="13" t="n">
        <f aca="false">IF(G62=E62,1,0)</f>
        <v>1</v>
      </c>
      <c r="L62" s="13" t="n">
        <f aca="false">IF(F62=C62,1,0)</f>
        <v>1</v>
      </c>
    </row>
    <row r="63" customFormat="false" ht="13.8" hidden="false" customHeight="false" outlineLevel="0" collapsed="false">
      <c r="A63" s="3" t="n">
        <v>62</v>
      </c>
      <c r="B63" s="3" t="s">
        <v>265</v>
      </c>
      <c r="C63" s="3" t="s">
        <v>143</v>
      </c>
      <c r="D63" s="3" t="s">
        <v>198</v>
      </c>
      <c r="E63" s="3" t="s">
        <v>67</v>
      </c>
      <c r="F63" s="3" t="s">
        <v>143</v>
      </c>
      <c r="G63" s="3" t="s">
        <v>67</v>
      </c>
      <c r="H63" s="3" t="n">
        <v>1</v>
      </c>
      <c r="I63" s="13" t="n">
        <f aca="false">IF(G63=E63,1,0)</f>
        <v>1</v>
      </c>
      <c r="K63" s="13" t="n">
        <f aca="false">IF(G63=E63,1,0)</f>
        <v>1</v>
      </c>
      <c r="L63" s="13" t="n">
        <f aca="false">IF(F63=C63,1,0)</f>
        <v>1</v>
      </c>
    </row>
    <row r="64" customFormat="false" ht="13.8" hidden="false" customHeight="false" outlineLevel="0" collapsed="false">
      <c r="A64" s="3" t="n">
        <v>63</v>
      </c>
      <c r="B64" s="3" t="s">
        <v>266</v>
      </c>
      <c r="C64" s="3" t="s">
        <v>150</v>
      </c>
      <c r="D64" s="3" t="s">
        <v>75</v>
      </c>
      <c r="E64" s="3" t="s">
        <v>75</v>
      </c>
      <c r="F64" s="3" t="s">
        <v>150</v>
      </c>
      <c r="G64" s="3" t="s">
        <v>75</v>
      </c>
      <c r="H64" s="3" t="n">
        <v>1</v>
      </c>
      <c r="I64" s="13" t="n">
        <f aca="false">IF(G64=E64,1,0)</f>
        <v>1</v>
      </c>
      <c r="K64" s="13" t="n">
        <f aca="false">IF(G64=E64,1,0)</f>
        <v>1</v>
      </c>
      <c r="L64" s="13" t="n">
        <f aca="false">IF(F64=C64,1,0)</f>
        <v>1</v>
      </c>
    </row>
    <row r="65" customFormat="false" ht="13.8" hidden="false" customHeight="false" outlineLevel="0" collapsed="false">
      <c r="A65" s="3" t="n">
        <v>64</v>
      </c>
      <c r="B65" s="3" t="s">
        <v>267</v>
      </c>
      <c r="C65" s="3" t="s">
        <v>105</v>
      </c>
      <c r="D65" s="3" t="s">
        <v>61</v>
      </c>
      <c r="E65" s="3" t="s">
        <v>61</v>
      </c>
      <c r="F65" s="3" t="s">
        <v>105</v>
      </c>
      <c r="G65" s="3" t="s">
        <v>61</v>
      </c>
      <c r="H65" s="3" t="n">
        <v>0.999</v>
      </c>
      <c r="I65" s="13" t="n">
        <f aca="false">IF(G65=E65,1,0)</f>
        <v>1</v>
      </c>
      <c r="K65" s="13" t="n">
        <f aca="false">IF(G65=E65,1,0)</f>
        <v>1</v>
      </c>
      <c r="L65" s="13" t="n">
        <f aca="false">IF(F65=C65,1,0)</f>
        <v>1</v>
      </c>
    </row>
    <row r="66" customFormat="false" ht="13.8" hidden="false" customHeight="false" outlineLevel="0" collapsed="false">
      <c r="A66" s="3" t="n">
        <v>65</v>
      </c>
      <c r="B66" s="3" t="s">
        <v>268</v>
      </c>
      <c r="C66" s="3" t="s">
        <v>105</v>
      </c>
      <c r="D66" s="3" t="s">
        <v>61</v>
      </c>
      <c r="E66" s="3" t="s">
        <v>61</v>
      </c>
      <c r="F66" s="3" t="s">
        <v>105</v>
      </c>
      <c r="G66" s="3" t="s">
        <v>61</v>
      </c>
      <c r="H66" s="3" t="n">
        <v>0.999</v>
      </c>
      <c r="I66" s="13" t="n">
        <f aca="false">IF(G66=E66,1,0)</f>
        <v>1</v>
      </c>
      <c r="K66" s="13" t="n">
        <f aca="false">IF(G66=E66,1,0)</f>
        <v>1</v>
      </c>
      <c r="L66" s="13" t="n">
        <f aca="false">IF(F66=C66,1,0)</f>
        <v>1</v>
      </c>
    </row>
    <row r="67" customFormat="false" ht="13.8" hidden="false" customHeight="false" outlineLevel="0" collapsed="false">
      <c r="A67" s="3" t="n">
        <v>66</v>
      </c>
      <c r="B67" s="3" t="s">
        <v>269</v>
      </c>
      <c r="C67" s="3" t="s">
        <v>105</v>
      </c>
      <c r="D67" s="3" t="s">
        <v>61</v>
      </c>
      <c r="E67" s="3" t="s">
        <v>61</v>
      </c>
      <c r="F67" s="3" t="s">
        <v>105</v>
      </c>
      <c r="G67" s="3" t="s">
        <v>61</v>
      </c>
      <c r="H67" s="3" t="n">
        <v>0.999</v>
      </c>
      <c r="I67" s="13" t="n">
        <f aca="false">IF(G67=E67,1,0)</f>
        <v>1</v>
      </c>
      <c r="K67" s="13" t="n">
        <f aca="false">IF(G67=E67,1,0)</f>
        <v>1</v>
      </c>
      <c r="L67" s="13" t="n">
        <f aca="false">IF(F67=C67,1,0)</f>
        <v>1</v>
      </c>
    </row>
    <row r="68" customFormat="false" ht="13.8" hidden="false" customHeight="false" outlineLevel="0" collapsed="false">
      <c r="A68" s="3" t="n">
        <v>67</v>
      </c>
      <c r="B68" s="3" t="s">
        <v>270</v>
      </c>
      <c r="C68" s="3" t="s">
        <v>105</v>
      </c>
      <c r="D68" s="3" t="s">
        <v>61</v>
      </c>
      <c r="E68" s="3" t="s">
        <v>61</v>
      </c>
      <c r="F68" s="3" t="s">
        <v>105</v>
      </c>
      <c r="G68" s="3" t="s">
        <v>61</v>
      </c>
      <c r="H68" s="3" t="n">
        <v>0.999</v>
      </c>
      <c r="I68" s="13" t="n">
        <f aca="false">IF(G68=E68,1,0)</f>
        <v>1</v>
      </c>
      <c r="K68" s="13" t="n">
        <f aca="false">IF(G68=E68,1,0)</f>
        <v>1</v>
      </c>
      <c r="L68" s="13" t="n">
        <f aca="false">IF(F68=C68,1,0)</f>
        <v>1</v>
      </c>
    </row>
    <row r="69" customFormat="false" ht="13.8" hidden="false" customHeight="false" outlineLevel="0" collapsed="false">
      <c r="A69" s="3" t="n">
        <v>68</v>
      </c>
      <c r="B69" s="3" t="s">
        <v>271</v>
      </c>
      <c r="C69" s="3" t="s">
        <v>133</v>
      </c>
      <c r="D69" s="3" t="s">
        <v>65</v>
      </c>
      <c r="E69" s="3" t="s">
        <v>65</v>
      </c>
      <c r="F69" s="3" t="s">
        <v>133</v>
      </c>
      <c r="G69" s="3" t="s">
        <v>65</v>
      </c>
      <c r="H69" s="3" t="n">
        <v>0.999</v>
      </c>
      <c r="I69" s="13" t="n">
        <f aca="false">IF(G69=E69,1,0)</f>
        <v>1</v>
      </c>
      <c r="K69" s="13" t="n">
        <f aca="false">IF(G69=E69,1,0)</f>
        <v>1</v>
      </c>
      <c r="L69" s="13" t="n">
        <f aca="false">IF(F69=C69,1,0)</f>
        <v>1</v>
      </c>
    </row>
    <row r="70" customFormat="false" ht="13.8" hidden="false" customHeight="false" outlineLevel="0" collapsed="false">
      <c r="A70" s="3" t="n">
        <v>69</v>
      </c>
      <c r="B70" s="3" t="s">
        <v>272</v>
      </c>
      <c r="C70" s="3" t="s">
        <v>105</v>
      </c>
      <c r="D70" s="3" t="s">
        <v>61</v>
      </c>
      <c r="E70" s="3" t="s">
        <v>61</v>
      </c>
      <c r="F70" s="3" t="s">
        <v>105</v>
      </c>
      <c r="G70" s="3" t="s">
        <v>61</v>
      </c>
      <c r="H70" s="3" t="n">
        <v>0.999</v>
      </c>
      <c r="I70" s="13" t="n">
        <f aca="false">IF(G70=E70,1,0)</f>
        <v>1</v>
      </c>
      <c r="K70" s="13" t="n">
        <f aca="false">IF(G70=E70,1,0)</f>
        <v>1</v>
      </c>
      <c r="L70" s="13" t="n">
        <f aca="false">IF(F70=C70,1,0)</f>
        <v>1</v>
      </c>
    </row>
    <row r="71" customFormat="false" ht="13.8" hidden="false" customHeight="false" outlineLevel="0" collapsed="false">
      <c r="A71" s="3" t="n">
        <v>70</v>
      </c>
      <c r="B71" s="3" t="s">
        <v>273</v>
      </c>
      <c r="C71" s="3" t="s">
        <v>105</v>
      </c>
      <c r="D71" s="3" t="s">
        <v>61</v>
      </c>
      <c r="E71" s="3" t="s">
        <v>61</v>
      </c>
      <c r="F71" s="3" t="s">
        <v>105</v>
      </c>
      <c r="G71" s="3" t="s">
        <v>61</v>
      </c>
      <c r="H71" s="3" t="n">
        <v>0.999</v>
      </c>
      <c r="I71" s="13" t="n">
        <f aca="false">IF(G71=E71,1,0)</f>
        <v>1</v>
      </c>
      <c r="K71" s="13" t="n">
        <f aca="false">IF(G71=E71,1,0)</f>
        <v>1</v>
      </c>
      <c r="L71" s="13" t="n">
        <f aca="false">IF(F71=C71,1,0)</f>
        <v>1</v>
      </c>
    </row>
    <row r="72" customFormat="false" ht="13.8" hidden="false" customHeight="false" outlineLevel="0" collapsed="false">
      <c r="A72" s="3" t="n">
        <v>71</v>
      </c>
      <c r="B72" s="3" t="s">
        <v>274</v>
      </c>
      <c r="C72" s="3" t="s">
        <v>150</v>
      </c>
      <c r="D72" s="3" t="s">
        <v>245</v>
      </c>
      <c r="E72" s="3" t="s">
        <v>83</v>
      </c>
      <c r="F72" s="3" t="s">
        <v>150</v>
      </c>
      <c r="G72" s="3" t="s">
        <v>83</v>
      </c>
      <c r="H72" s="3" t="n">
        <v>0.999</v>
      </c>
      <c r="I72" s="13" t="n">
        <f aca="false">IF(G72=E72,1,0)</f>
        <v>1</v>
      </c>
      <c r="K72" s="13" t="n">
        <f aca="false">IF(G72=E72,1,0)</f>
        <v>1</v>
      </c>
      <c r="L72" s="13" t="n">
        <f aca="false">IF(F72=C72,1,0)</f>
        <v>1</v>
      </c>
    </row>
    <row r="73" customFormat="false" ht="13.8" hidden="false" customHeight="false" outlineLevel="0" collapsed="false">
      <c r="A73" s="3" t="n">
        <v>72</v>
      </c>
      <c r="B73" s="3" t="s">
        <v>275</v>
      </c>
      <c r="C73" s="3" t="s">
        <v>105</v>
      </c>
      <c r="D73" s="3" t="s">
        <v>61</v>
      </c>
      <c r="E73" s="3" t="s">
        <v>61</v>
      </c>
      <c r="F73" s="3" t="s">
        <v>105</v>
      </c>
      <c r="G73" s="3" t="s">
        <v>61</v>
      </c>
      <c r="H73" s="3" t="n">
        <v>0.999</v>
      </c>
      <c r="I73" s="13" t="n">
        <f aca="false">IF(G73=E73,1,0)</f>
        <v>1</v>
      </c>
      <c r="K73" s="13" t="n">
        <f aca="false">IF(G73=E73,1,0)</f>
        <v>1</v>
      </c>
      <c r="L73" s="13" t="n">
        <f aca="false">IF(F73=C73,1,0)</f>
        <v>1</v>
      </c>
    </row>
    <row r="74" customFormat="false" ht="13.8" hidden="false" customHeight="false" outlineLevel="0" collapsed="false">
      <c r="A74" s="3" t="n">
        <v>73</v>
      </c>
      <c r="B74" s="3" t="s">
        <v>276</v>
      </c>
      <c r="C74" s="3" t="s">
        <v>105</v>
      </c>
      <c r="D74" s="3" t="s">
        <v>61</v>
      </c>
      <c r="E74" s="3" t="s">
        <v>61</v>
      </c>
      <c r="F74" s="3" t="s">
        <v>105</v>
      </c>
      <c r="G74" s="3" t="s">
        <v>61</v>
      </c>
      <c r="H74" s="3" t="n">
        <v>0.999</v>
      </c>
      <c r="I74" s="13" t="n">
        <f aca="false">IF(G74=E74,1,0)</f>
        <v>1</v>
      </c>
      <c r="K74" s="13" t="n">
        <f aca="false">IF(G74=E74,1,0)</f>
        <v>1</v>
      </c>
      <c r="L74" s="13" t="n">
        <f aca="false">IF(F74=C74,1,0)</f>
        <v>1</v>
      </c>
    </row>
    <row r="75" customFormat="false" ht="13.8" hidden="false" customHeight="false" outlineLevel="0" collapsed="false">
      <c r="A75" s="3" t="n">
        <v>74</v>
      </c>
      <c r="B75" s="3" t="s">
        <v>277</v>
      </c>
      <c r="C75" s="3" t="s">
        <v>105</v>
      </c>
      <c r="D75" s="3" t="s">
        <v>61</v>
      </c>
      <c r="E75" s="3" t="s">
        <v>61</v>
      </c>
      <c r="F75" s="3" t="s">
        <v>105</v>
      </c>
      <c r="G75" s="3" t="s">
        <v>61</v>
      </c>
      <c r="H75" s="3" t="n">
        <v>0.999</v>
      </c>
      <c r="I75" s="13" t="n">
        <f aca="false">IF(G75=E75,1,0)</f>
        <v>1</v>
      </c>
      <c r="K75" s="13" t="n">
        <f aca="false">IF(G75=E75,1,0)</f>
        <v>1</v>
      </c>
      <c r="L75" s="13" t="n">
        <f aca="false">IF(F75=C75,1,0)</f>
        <v>1</v>
      </c>
    </row>
    <row r="76" customFormat="false" ht="13.8" hidden="false" customHeight="false" outlineLevel="0" collapsed="false">
      <c r="A76" s="3" t="n">
        <v>75</v>
      </c>
      <c r="B76" s="3" t="s">
        <v>278</v>
      </c>
      <c r="C76" s="3" t="s">
        <v>105</v>
      </c>
      <c r="D76" s="3" t="s">
        <v>61</v>
      </c>
      <c r="E76" s="3" t="s">
        <v>61</v>
      </c>
      <c r="F76" s="3" t="s">
        <v>105</v>
      </c>
      <c r="G76" s="3" t="s">
        <v>61</v>
      </c>
      <c r="H76" s="3" t="n">
        <v>0.999</v>
      </c>
      <c r="I76" s="13" t="n">
        <f aca="false">IF(G76=E76,1,0)</f>
        <v>1</v>
      </c>
      <c r="K76" s="13" t="n">
        <f aca="false">IF(G76=E76,1,0)</f>
        <v>1</v>
      </c>
      <c r="L76" s="13" t="n">
        <f aca="false">IF(F76=C76,1,0)</f>
        <v>1</v>
      </c>
    </row>
    <row r="77" customFormat="false" ht="13.8" hidden="false" customHeight="false" outlineLevel="0" collapsed="false">
      <c r="A77" s="3" t="n">
        <v>76</v>
      </c>
      <c r="B77" s="3" t="s">
        <v>279</v>
      </c>
      <c r="C77" s="3" t="s">
        <v>105</v>
      </c>
      <c r="D77" s="3" t="s">
        <v>61</v>
      </c>
      <c r="E77" s="3" t="s">
        <v>61</v>
      </c>
      <c r="F77" s="3" t="s">
        <v>105</v>
      </c>
      <c r="G77" s="3" t="s">
        <v>61</v>
      </c>
      <c r="H77" s="3" t="n">
        <v>0.999</v>
      </c>
      <c r="I77" s="13" t="n">
        <f aca="false">IF(G77=E77,1,0)</f>
        <v>1</v>
      </c>
      <c r="K77" s="13" t="n">
        <f aca="false">IF(G77=E77,1,0)</f>
        <v>1</v>
      </c>
      <c r="L77" s="13" t="n">
        <f aca="false">IF(F77=C77,1,0)</f>
        <v>1</v>
      </c>
    </row>
    <row r="78" customFormat="false" ht="13.8" hidden="false" customHeight="false" outlineLevel="0" collapsed="false">
      <c r="A78" s="3" t="n">
        <v>77</v>
      </c>
      <c r="B78" s="3" t="s">
        <v>280</v>
      </c>
      <c r="C78" s="3" t="s">
        <v>105</v>
      </c>
      <c r="D78" s="3" t="s">
        <v>77</v>
      </c>
      <c r="E78" s="3" t="s">
        <v>77</v>
      </c>
      <c r="F78" s="3" t="s">
        <v>105</v>
      </c>
      <c r="G78" s="3" t="s">
        <v>77</v>
      </c>
      <c r="H78" s="3" t="n">
        <v>0.999</v>
      </c>
      <c r="I78" s="13" t="n">
        <f aca="false">IF(G78=E78,1,0)</f>
        <v>1</v>
      </c>
      <c r="K78" s="13" t="n">
        <f aca="false">IF(G78=E78,1,0)</f>
        <v>1</v>
      </c>
      <c r="L78" s="13" t="n">
        <f aca="false">IF(F78=C78,1,0)</f>
        <v>1</v>
      </c>
    </row>
    <row r="79" customFormat="false" ht="13.8" hidden="false" customHeight="false" outlineLevel="0" collapsed="false">
      <c r="A79" s="3" t="n">
        <v>78</v>
      </c>
      <c r="B79" s="3" t="s">
        <v>281</v>
      </c>
      <c r="C79" s="3" t="s">
        <v>105</v>
      </c>
      <c r="D79" s="3" t="s">
        <v>77</v>
      </c>
      <c r="E79" s="3" t="s">
        <v>77</v>
      </c>
      <c r="F79" s="3" t="s">
        <v>105</v>
      </c>
      <c r="G79" s="3" t="s">
        <v>77</v>
      </c>
      <c r="H79" s="3" t="n">
        <v>0.999</v>
      </c>
      <c r="I79" s="13" t="n">
        <f aca="false">IF(G79=E79,1,0)</f>
        <v>1</v>
      </c>
      <c r="K79" s="13" t="n">
        <f aca="false">IF(G79=E79,1,0)</f>
        <v>1</v>
      </c>
      <c r="L79" s="13" t="n">
        <f aca="false">IF(F79=C79,1,0)</f>
        <v>1</v>
      </c>
    </row>
    <row r="80" customFormat="false" ht="13.8" hidden="false" customHeight="false" outlineLevel="0" collapsed="false">
      <c r="A80" s="3" t="n">
        <v>79</v>
      </c>
      <c r="B80" s="3" t="s">
        <v>282</v>
      </c>
      <c r="C80" s="3" t="s">
        <v>105</v>
      </c>
      <c r="D80" s="3" t="s">
        <v>61</v>
      </c>
      <c r="E80" s="3" t="s">
        <v>61</v>
      </c>
      <c r="F80" s="3" t="s">
        <v>105</v>
      </c>
      <c r="G80" s="3" t="s">
        <v>61</v>
      </c>
      <c r="H80" s="3" t="n">
        <v>0.999</v>
      </c>
      <c r="I80" s="13" t="n">
        <f aca="false">IF(G80=E80,1,0)</f>
        <v>1</v>
      </c>
      <c r="K80" s="13" t="n">
        <f aca="false">IF(G80=E80,1,0)</f>
        <v>1</v>
      </c>
      <c r="L80" s="13" t="n">
        <f aca="false">IF(F80=C80,1,0)</f>
        <v>1</v>
      </c>
    </row>
    <row r="81" customFormat="false" ht="13.8" hidden="false" customHeight="false" outlineLevel="0" collapsed="false">
      <c r="A81" s="3" t="n">
        <v>80</v>
      </c>
      <c r="B81" s="3" t="s">
        <v>283</v>
      </c>
      <c r="C81" s="3" t="s">
        <v>105</v>
      </c>
      <c r="D81" s="3" t="s">
        <v>77</v>
      </c>
      <c r="E81" s="3" t="s">
        <v>77</v>
      </c>
      <c r="F81" s="3" t="s">
        <v>105</v>
      </c>
      <c r="G81" s="3" t="s">
        <v>77</v>
      </c>
      <c r="H81" s="3" t="n">
        <v>0.999</v>
      </c>
      <c r="I81" s="13" t="n">
        <f aca="false">IF(G81=E81,1,0)</f>
        <v>1</v>
      </c>
      <c r="K81" s="13" t="n">
        <f aca="false">IF(G81=E81,1,0)</f>
        <v>1</v>
      </c>
      <c r="L81" s="13" t="n">
        <f aca="false">IF(F81=C81,1,0)</f>
        <v>1</v>
      </c>
    </row>
    <row r="82" customFormat="false" ht="13.8" hidden="false" customHeight="false" outlineLevel="0" collapsed="false">
      <c r="A82" s="3" t="n">
        <v>81</v>
      </c>
      <c r="B82" s="3" t="s">
        <v>284</v>
      </c>
      <c r="C82" s="3" t="s">
        <v>105</v>
      </c>
      <c r="D82" s="3" t="s">
        <v>61</v>
      </c>
      <c r="E82" s="3" t="s">
        <v>61</v>
      </c>
      <c r="F82" s="3" t="s">
        <v>105</v>
      </c>
      <c r="G82" s="3" t="s">
        <v>61</v>
      </c>
      <c r="H82" s="3" t="n">
        <v>0.999</v>
      </c>
      <c r="I82" s="13" t="n">
        <f aca="false">IF(G82=E82,1,0)</f>
        <v>1</v>
      </c>
      <c r="K82" s="13" t="n">
        <f aca="false">IF(G82=E82,1,0)</f>
        <v>1</v>
      </c>
      <c r="L82" s="13" t="n">
        <f aca="false">IF(F82=C82,1,0)</f>
        <v>1</v>
      </c>
    </row>
    <row r="83" customFormat="false" ht="13.8" hidden="false" customHeight="false" outlineLevel="0" collapsed="false">
      <c r="A83" s="3" t="n">
        <v>82</v>
      </c>
      <c r="B83" s="3" t="s">
        <v>285</v>
      </c>
      <c r="C83" s="3" t="s">
        <v>105</v>
      </c>
      <c r="D83" s="3" t="s">
        <v>61</v>
      </c>
      <c r="E83" s="3" t="s">
        <v>61</v>
      </c>
      <c r="F83" s="3" t="s">
        <v>105</v>
      </c>
      <c r="G83" s="3" t="s">
        <v>61</v>
      </c>
      <c r="H83" s="3" t="n">
        <v>0.999</v>
      </c>
      <c r="I83" s="13" t="n">
        <f aca="false">IF(G83=E83,1,0)</f>
        <v>1</v>
      </c>
      <c r="K83" s="13" t="n">
        <f aca="false">IF(G83=E83,1,0)</f>
        <v>1</v>
      </c>
      <c r="L83" s="13" t="n">
        <f aca="false">IF(F83=C83,1,0)</f>
        <v>1</v>
      </c>
    </row>
    <row r="84" customFormat="false" ht="13.8" hidden="false" customHeight="false" outlineLevel="0" collapsed="false">
      <c r="A84" s="3" t="n">
        <v>83</v>
      </c>
      <c r="B84" s="3" t="s">
        <v>286</v>
      </c>
      <c r="C84" s="3" t="s">
        <v>105</v>
      </c>
      <c r="D84" s="3" t="s">
        <v>61</v>
      </c>
      <c r="E84" s="3" t="s">
        <v>61</v>
      </c>
      <c r="F84" s="3" t="s">
        <v>105</v>
      </c>
      <c r="G84" s="3" t="s">
        <v>61</v>
      </c>
      <c r="H84" s="3" t="n">
        <v>0.999</v>
      </c>
      <c r="I84" s="13" t="n">
        <f aca="false">IF(G84=E84,1,0)</f>
        <v>1</v>
      </c>
      <c r="K84" s="13" t="n">
        <f aca="false">IF(G84=E84,1,0)</f>
        <v>1</v>
      </c>
      <c r="L84" s="13" t="n">
        <f aca="false">IF(F84=C84,1,0)</f>
        <v>1</v>
      </c>
    </row>
    <row r="85" customFormat="false" ht="13.8" hidden="false" customHeight="false" outlineLevel="0" collapsed="false">
      <c r="A85" s="3" t="n">
        <v>84</v>
      </c>
      <c r="B85" s="3" t="s">
        <v>287</v>
      </c>
      <c r="C85" s="3" t="s">
        <v>143</v>
      </c>
      <c r="D85" s="3" t="s">
        <v>288</v>
      </c>
      <c r="E85" s="3" t="s">
        <v>288</v>
      </c>
      <c r="F85" s="3" t="s">
        <v>105</v>
      </c>
      <c r="G85" s="3" t="s">
        <v>61</v>
      </c>
      <c r="H85" s="3" t="n">
        <v>0.999</v>
      </c>
      <c r="I85" s="13" t="n">
        <f aca="false">IF(G85=E85,1,0)</f>
        <v>0</v>
      </c>
      <c r="J85" s="3" t="s">
        <v>257</v>
      </c>
    </row>
    <row r="86" customFormat="false" ht="13.8" hidden="false" customHeight="false" outlineLevel="0" collapsed="false">
      <c r="A86" s="3" t="n">
        <v>85</v>
      </c>
      <c r="B86" s="3" t="s">
        <v>289</v>
      </c>
      <c r="C86" s="3" t="s">
        <v>105</v>
      </c>
      <c r="D86" s="3" t="s">
        <v>61</v>
      </c>
      <c r="E86" s="3" t="s">
        <v>61</v>
      </c>
      <c r="F86" s="3" t="s">
        <v>105</v>
      </c>
      <c r="G86" s="3" t="s">
        <v>61</v>
      </c>
      <c r="H86" s="3" t="n">
        <v>0.999</v>
      </c>
      <c r="I86" s="13" t="n">
        <f aca="false">IF(G86=E86,1,0)</f>
        <v>1</v>
      </c>
      <c r="K86" s="13" t="n">
        <f aca="false">IF(G86=E86,1,0)</f>
        <v>1</v>
      </c>
      <c r="L86" s="13" t="n">
        <f aca="false">IF(F86=C86,1,0)</f>
        <v>1</v>
      </c>
    </row>
    <row r="87" customFormat="false" ht="13.8" hidden="false" customHeight="false" outlineLevel="0" collapsed="false">
      <c r="A87" s="3" t="n">
        <v>86</v>
      </c>
      <c r="B87" s="3" t="s">
        <v>290</v>
      </c>
      <c r="C87" s="3" t="s">
        <v>105</v>
      </c>
      <c r="D87" s="3" t="s">
        <v>61</v>
      </c>
      <c r="E87" s="3" t="s">
        <v>61</v>
      </c>
      <c r="F87" s="3" t="s">
        <v>105</v>
      </c>
      <c r="G87" s="3" t="s">
        <v>61</v>
      </c>
      <c r="H87" s="3" t="n">
        <v>0.999</v>
      </c>
      <c r="I87" s="13" t="n">
        <f aca="false">IF(G87=E87,1,0)</f>
        <v>1</v>
      </c>
      <c r="K87" s="13" t="n">
        <f aca="false">IF(G87=E87,1,0)</f>
        <v>1</v>
      </c>
      <c r="L87" s="13" t="n">
        <f aca="false">IF(F87=C87,1,0)</f>
        <v>1</v>
      </c>
    </row>
    <row r="88" customFormat="false" ht="13.8" hidden="false" customHeight="false" outlineLevel="0" collapsed="false">
      <c r="A88" s="3" t="n">
        <v>87</v>
      </c>
      <c r="B88" s="3" t="s">
        <v>291</v>
      </c>
      <c r="C88" s="3" t="s">
        <v>105</v>
      </c>
      <c r="D88" s="3" t="s">
        <v>61</v>
      </c>
      <c r="E88" s="3" t="s">
        <v>61</v>
      </c>
      <c r="F88" s="3" t="s">
        <v>105</v>
      </c>
      <c r="G88" s="3" t="s">
        <v>61</v>
      </c>
      <c r="H88" s="3" t="n">
        <v>0.999</v>
      </c>
      <c r="I88" s="13" t="n">
        <f aca="false">IF(G88=E88,1,0)</f>
        <v>1</v>
      </c>
      <c r="K88" s="13" t="n">
        <f aca="false">IF(G88=E88,1,0)</f>
        <v>1</v>
      </c>
      <c r="L88" s="13" t="n">
        <f aca="false">IF(F88=C88,1,0)</f>
        <v>1</v>
      </c>
    </row>
    <row r="89" customFormat="false" ht="13.8" hidden="false" customHeight="false" outlineLevel="0" collapsed="false">
      <c r="A89" s="3" t="n">
        <v>88</v>
      </c>
      <c r="B89" s="3" t="s">
        <v>292</v>
      </c>
      <c r="C89" s="3" t="s">
        <v>105</v>
      </c>
      <c r="D89" s="3" t="s">
        <v>61</v>
      </c>
      <c r="E89" s="3" t="s">
        <v>61</v>
      </c>
      <c r="F89" s="3" t="s">
        <v>105</v>
      </c>
      <c r="G89" s="3" t="s">
        <v>61</v>
      </c>
      <c r="H89" s="3" t="n">
        <v>0.999</v>
      </c>
      <c r="I89" s="13" t="n">
        <f aca="false">IF(G89=E89,1,0)</f>
        <v>1</v>
      </c>
      <c r="K89" s="13" t="n">
        <f aca="false">IF(G89=E89,1,0)</f>
        <v>1</v>
      </c>
      <c r="L89" s="13" t="n">
        <f aca="false">IF(F89=C89,1,0)</f>
        <v>1</v>
      </c>
    </row>
    <row r="90" customFormat="false" ht="13.8" hidden="false" customHeight="false" outlineLevel="0" collapsed="false">
      <c r="A90" s="3" t="n">
        <v>89</v>
      </c>
      <c r="B90" s="3" t="s">
        <v>293</v>
      </c>
      <c r="C90" s="3" t="s">
        <v>143</v>
      </c>
      <c r="D90" s="3" t="s">
        <v>256</v>
      </c>
      <c r="E90" s="3" t="s">
        <v>256</v>
      </c>
      <c r="F90" s="3" t="s">
        <v>143</v>
      </c>
      <c r="G90" s="3" t="s">
        <v>67</v>
      </c>
      <c r="H90" s="3" t="n">
        <v>0.999</v>
      </c>
      <c r="I90" s="13" t="n">
        <f aca="false">IF(G90=E90,1,0)</f>
        <v>0</v>
      </c>
      <c r="J90" s="3" t="s">
        <v>257</v>
      </c>
    </row>
    <row r="91" customFormat="false" ht="13.8" hidden="false" customHeight="false" outlineLevel="0" collapsed="false">
      <c r="A91" s="3" t="n">
        <v>90</v>
      </c>
      <c r="B91" s="3" t="s">
        <v>294</v>
      </c>
      <c r="C91" s="3" t="s">
        <v>150</v>
      </c>
      <c r="D91" s="3" t="s">
        <v>245</v>
      </c>
      <c r="E91" s="3" t="s">
        <v>83</v>
      </c>
      <c r="F91" s="3" t="s">
        <v>150</v>
      </c>
      <c r="G91" s="3" t="s">
        <v>83</v>
      </c>
      <c r="H91" s="3" t="n">
        <v>0.999</v>
      </c>
      <c r="I91" s="13" t="n">
        <f aca="false">IF(G91=E91,1,0)</f>
        <v>1</v>
      </c>
      <c r="K91" s="13" t="n">
        <f aca="false">IF(G91=E91,1,0)</f>
        <v>1</v>
      </c>
      <c r="L91" s="13" t="n">
        <f aca="false">IF(F91=C91,1,0)</f>
        <v>1</v>
      </c>
    </row>
    <row r="92" customFormat="false" ht="13.8" hidden="false" customHeight="false" outlineLevel="0" collapsed="false">
      <c r="A92" s="3" t="n">
        <v>91</v>
      </c>
      <c r="B92" s="3" t="s">
        <v>295</v>
      </c>
      <c r="C92" s="3" t="s">
        <v>105</v>
      </c>
      <c r="D92" s="3" t="s">
        <v>61</v>
      </c>
      <c r="E92" s="3" t="s">
        <v>61</v>
      </c>
      <c r="F92" s="3" t="s">
        <v>105</v>
      </c>
      <c r="G92" s="3" t="s">
        <v>61</v>
      </c>
      <c r="H92" s="3" t="n">
        <v>0.999</v>
      </c>
      <c r="I92" s="13" t="n">
        <f aca="false">IF(G92=E92,1,0)</f>
        <v>1</v>
      </c>
      <c r="K92" s="13" t="n">
        <f aca="false">IF(G92=E92,1,0)</f>
        <v>1</v>
      </c>
      <c r="L92" s="13" t="n">
        <f aca="false">IF(F92=C92,1,0)</f>
        <v>1</v>
      </c>
    </row>
    <row r="93" customFormat="false" ht="13.8" hidden="false" customHeight="false" outlineLevel="0" collapsed="false">
      <c r="A93" s="3" t="n">
        <v>92</v>
      </c>
      <c r="B93" s="3" t="s">
        <v>296</v>
      </c>
      <c r="C93" s="3" t="s">
        <v>105</v>
      </c>
      <c r="D93" s="3" t="s">
        <v>61</v>
      </c>
      <c r="E93" s="3" t="s">
        <v>61</v>
      </c>
      <c r="F93" s="3" t="s">
        <v>105</v>
      </c>
      <c r="G93" s="3" t="s">
        <v>61</v>
      </c>
      <c r="H93" s="3" t="n">
        <v>0.999</v>
      </c>
      <c r="I93" s="13" t="n">
        <f aca="false">IF(G93=E93,1,0)</f>
        <v>1</v>
      </c>
      <c r="K93" s="13" t="n">
        <f aca="false">IF(G93=E93,1,0)</f>
        <v>1</v>
      </c>
      <c r="L93" s="13" t="n">
        <f aca="false">IF(F93=C93,1,0)</f>
        <v>1</v>
      </c>
    </row>
    <row r="94" customFormat="false" ht="13.8" hidden="false" customHeight="false" outlineLevel="0" collapsed="false">
      <c r="A94" s="3" t="n">
        <v>93</v>
      </c>
      <c r="B94" s="3" t="s">
        <v>297</v>
      </c>
      <c r="C94" s="3" t="s">
        <v>143</v>
      </c>
      <c r="D94" s="3" t="s">
        <v>256</v>
      </c>
      <c r="E94" s="3" t="s">
        <v>256</v>
      </c>
      <c r="F94" s="3" t="s">
        <v>143</v>
      </c>
      <c r="G94" s="3" t="s">
        <v>67</v>
      </c>
      <c r="H94" s="3" t="n">
        <v>0.999</v>
      </c>
      <c r="I94" s="13" t="n">
        <f aca="false">IF(G94=E94,1,0)</f>
        <v>0</v>
      </c>
      <c r="J94" s="3" t="s">
        <v>257</v>
      </c>
    </row>
    <row r="95" customFormat="false" ht="13.8" hidden="false" customHeight="false" outlineLevel="0" collapsed="false">
      <c r="A95" s="3" t="n">
        <v>94</v>
      </c>
      <c r="B95" s="3" t="s">
        <v>298</v>
      </c>
      <c r="C95" s="3" t="s">
        <v>105</v>
      </c>
      <c r="D95" s="3" t="s">
        <v>55</v>
      </c>
      <c r="E95" s="3" t="s">
        <v>55</v>
      </c>
      <c r="F95" s="3" t="s">
        <v>105</v>
      </c>
      <c r="G95" s="3" t="s">
        <v>55</v>
      </c>
      <c r="H95" s="3" t="n">
        <v>0.999</v>
      </c>
      <c r="I95" s="13" t="n">
        <f aca="false">IF(G95=E95,1,0)</f>
        <v>1</v>
      </c>
      <c r="K95" s="13" t="n">
        <f aca="false">IF(G95=E95,1,0)</f>
        <v>1</v>
      </c>
      <c r="L95" s="13" t="n">
        <f aca="false">IF(F95=C95,1,0)</f>
        <v>1</v>
      </c>
    </row>
    <row r="96" customFormat="false" ht="13.8" hidden="false" customHeight="false" outlineLevel="0" collapsed="false">
      <c r="A96" s="3" t="n">
        <v>95</v>
      </c>
      <c r="B96" s="3" t="s">
        <v>299</v>
      </c>
      <c r="C96" s="3" t="s">
        <v>143</v>
      </c>
      <c r="D96" s="3" t="s">
        <v>198</v>
      </c>
      <c r="E96" s="3" t="s">
        <v>67</v>
      </c>
      <c r="F96" s="3" t="s">
        <v>143</v>
      </c>
      <c r="G96" s="3" t="s">
        <v>67</v>
      </c>
      <c r="H96" s="3" t="n">
        <v>0.999</v>
      </c>
      <c r="I96" s="13" t="n">
        <f aca="false">IF(G96=E96,1,0)</f>
        <v>1</v>
      </c>
      <c r="K96" s="13" t="n">
        <f aca="false">IF(G96=E96,1,0)</f>
        <v>1</v>
      </c>
      <c r="L96" s="13" t="n">
        <f aca="false">IF(F96=C96,1,0)</f>
        <v>1</v>
      </c>
    </row>
    <row r="97" customFormat="false" ht="13.8" hidden="false" customHeight="false" outlineLevel="0" collapsed="false">
      <c r="A97" s="3" t="n">
        <v>96</v>
      </c>
      <c r="B97" s="3" t="s">
        <v>300</v>
      </c>
      <c r="C97" s="3" t="s">
        <v>105</v>
      </c>
      <c r="D97" s="3" t="s">
        <v>77</v>
      </c>
      <c r="E97" s="3" t="s">
        <v>77</v>
      </c>
      <c r="F97" s="3" t="s">
        <v>105</v>
      </c>
      <c r="G97" s="3" t="s">
        <v>77</v>
      </c>
      <c r="H97" s="3" t="n">
        <v>0.999</v>
      </c>
      <c r="I97" s="13" t="n">
        <f aca="false">IF(G97=E97,1,0)</f>
        <v>1</v>
      </c>
      <c r="K97" s="13" t="n">
        <f aca="false">IF(G97=E97,1,0)</f>
        <v>1</v>
      </c>
      <c r="L97" s="13" t="n">
        <f aca="false">IF(F97=C97,1,0)</f>
        <v>1</v>
      </c>
    </row>
    <row r="98" customFormat="false" ht="13.8" hidden="false" customHeight="false" outlineLevel="0" collapsed="false">
      <c r="A98" s="3" t="n">
        <v>97</v>
      </c>
      <c r="B98" s="3" t="s">
        <v>301</v>
      </c>
      <c r="C98" s="3" t="s">
        <v>143</v>
      </c>
      <c r="D98" s="3" t="s">
        <v>256</v>
      </c>
      <c r="E98" s="3" t="s">
        <v>256</v>
      </c>
      <c r="F98" s="3" t="s">
        <v>143</v>
      </c>
      <c r="G98" s="3" t="s">
        <v>67</v>
      </c>
      <c r="H98" s="3" t="n">
        <v>0.999</v>
      </c>
      <c r="I98" s="13" t="n">
        <f aca="false">IF(G98=E98,1,0)</f>
        <v>0</v>
      </c>
      <c r="J98" s="3" t="s">
        <v>257</v>
      </c>
    </row>
    <row r="99" customFormat="false" ht="13.8" hidden="false" customHeight="false" outlineLevel="0" collapsed="false">
      <c r="A99" s="3" t="n">
        <v>98</v>
      </c>
      <c r="B99" s="3" t="s">
        <v>302</v>
      </c>
      <c r="C99" s="3" t="s">
        <v>105</v>
      </c>
      <c r="D99" s="3" t="s">
        <v>55</v>
      </c>
      <c r="E99" s="3" t="s">
        <v>55</v>
      </c>
      <c r="F99" s="3" t="s">
        <v>105</v>
      </c>
      <c r="G99" s="3" t="s">
        <v>55</v>
      </c>
      <c r="H99" s="3" t="n">
        <v>0.999</v>
      </c>
      <c r="I99" s="13" t="n">
        <f aca="false">IF(G99=E99,1,0)</f>
        <v>1</v>
      </c>
      <c r="K99" s="13" t="n">
        <f aca="false">IF(G99=E99,1,0)</f>
        <v>1</v>
      </c>
      <c r="L99" s="13" t="n">
        <f aca="false">IF(F99=C99,1,0)</f>
        <v>1</v>
      </c>
    </row>
    <row r="100" customFormat="false" ht="13.8" hidden="false" customHeight="false" outlineLevel="0" collapsed="false">
      <c r="A100" s="3" t="n">
        <v>99</v>
      </c>
      <c r="B100" s="3" t="s">
        <v>303</v>
      </c>
      <c r="C100" s="3" t="s">
        <v>143</v>
      </c>
      <c r="D100" s="3" t="s">
        <v>198</v>
      </c>
      <c r="E100" s="3" t="s">
        <v>67</v>
      </c>
      <c r="F100" s="3" t="s">
        <v>143</v>
      </c>
      <c r="G100" s="3" t="s">
        <v>67</v>
      </c>
      <c r="H100" s="3" t="n">
        <v>0.999</v>
      </c>
      <c r="I100" s="13" t="n">
        <f aca="false">IF(G100=E100,1,0)</f>
        <v>1</v>
      </c>
      <c r="K100" s="13" t="n">
        <f aca="false">IF(G100=E100,1,0)</f>
        <v>1</v>
      </c>
      <c r="L100" s="13" t="n">
        <f aca="false">IF(F100=C100,1,0)</f>
        <v>1</v>
      </c>
    </row>
    <row r="101" customFormat="false" ht="13.8" hidden="false" customHeight="false" outlineLevel="0" collapsed="false">
      <c r="A101" s="3" t="n">
        <v>100</v>
      </c>
      <c r="B101" s="3" t="s">
        <v>304</v>
      </c>
      <c r="C101" s="3" t="s">
        <v>105</v>
      </c>
      <c r="D101" s="3" t="s">
        <v>61</v>
      </c>
      <c r="E101" s="3" t="s">
        <v>61</v>
      </c>
      <c r="F101" s="3" t="s">
        <v>105</v>
      </c>
      <c r="G101" s="3" t="s">
        <v>61</v>
      </c>
      <c r="H101" s="3" t="n">
        <v>0.999</v>
      </c>
      <c r="I101" s="13" t="n">
        <f aca="false">IF(G101=E101,1,0)</f>
        <v>1</v>
      </c>
      <c r="K101" s="13" t="n">
        <f aca="false">IF(G101=E101,1,0)</f>
        <v>1</v>
      </c>
      <c r="L101" s="13" t="n">
        <f aca="false">IF(F101=C101,1,0)</f>
        <v>1</v>
      </c>
    </row>
    <row r="102" customFormat="false" ht="13.8" hidden="false" customHeight="false" outlineLevel="0" collapsed="false">
      <c r="A102" s="3" t="n">
        <v>101</v>
      </c>
      <c r="B102" s="3" t="s">
        <v>305</v>
      </c>
      <c r="C102" s="3" t="s">
        <v>133</v>
      </c>
      <c r="D102" s="3" t="s">
        <v>65</v>
      </c>
      <c r="E102" s="3" t="s">
        <v>65</v>
      </c>
      <c r="F102" s="3" t="s">
        <v>133</v>
      </c>
      <c r="G102" s="3" t="s">
        <v>65</v>
      </c>
      <c r="H102" s="3" t="n">
        <v>0.999</v>
      </c>
      <c r="I102" s="13" t="n">
        <f aca="false">IF(G102=E102,1,0)</f>
        <v>1</v>
      </c>
      <c r="K102" s="13" t="n">
        <f aca="false">IF(G102=E102,1,0)</f>
        <v>1</v>
      </c>
      <c r="L102" s="13" t="n">
        <f aca="false">IF(F102=C102,1,0)</f>
        <v>1</v>
      </c>
    </row>
    <row r="103" customFormat="false" ht="13.8" hidden="false" customHeight="false" outlineLevel="0" collapsed="false">
      <c r="A103" s="3" t="n">
        <v>102</v>
      </c>
      <c r="B103" s="3" t="s">
        <v>306</v>
      </c>
      <c r="C103" s="3" t="s">
        <v>143</v>
      </c>
      <c r="D103" s="3" t="s">
        <v>198</v>
      </c>
      <c r="E103" s="3" t="s">
        <v>67</v>
      </c>
      <c r="F103" s="3" t="s">
        <v>143</v>
      </c>
      <c r="G103" s="3" t="s">
        <v>67</v>
      </c>
      <c r="H103" s="3" t="n">
        <v>0.999</v>
      </c>
      <c r="I103" s="13" t="n">
        <f aca="false">IF(G103=E103,1,0)</f>
        <v>1</v>
      </c>
      <c r="K103" s="13" t="n">
        <f aca="false">IF(G103=E103,1,0)</f>
        <v>1</v>
      </c>
      <c r="L103" s="13" t="n">
        <f aca="false">IF(F103=C103,1,0)</f>
        <v>1</v>
      </c>
    </row>
    <row r="104" customFormat="false" ht="13.8" hidden="false" customHeight="false" outlineLevel="0" collapsed="false">
      <c r="A104" s="3" t="n">
        <v>103</v>
      </c>
      <c r="B104" s="3" t="s">
        <v>307</v>
      </c>
      <c r="C104" s="3" t="s">
        <v>150</v>
      </c>
      <c r="D104" s="3" t="s">
        <v>245</v>
      </c>
      <c r="E104" s="3" t="s">
        <v>83</v>
      </c>
      <c r="F104" s="3" t="s">
        <v>150</v>
      </c>
      <c r="G104" s="3" t="s">
        <v>83</v>
      </c>
      <c r="H104" s="3" t="n">
        <v>0.999</v>
      </c>
      <c r="I104" s="13" t="n">
        <f aca="false">IF(G104=E104,1,0)</f>
        <v>1</v>
      </c>
      <c r="K104" s="13" t="n">
        <f aca="false">IF(G104=E104,1,0)</f>
        <v>1</v>
      </c>
      <c r="L104" s="13" t="n">
        <f aca="false">IF(F104=C104,1,0)</f>
        <v>1</v>
      </c>
    </row>
    <row r="105" customFormat="false" ht="13.8" hidden="false" customHeight="false" outlineLevel="0" collapsed="false">
      <c r="A105" s="3" t="n">
        <v>104</v>
      </c>
      <c r="B105" s="3" t="s">
        <v>308</v>
      </c>
      <c r="C105" s="3" t="s">
        <v>105</v>
      </c>
      <c r="D105" s="3" t="s">
        <v>61</v>
      </c>
      <c r="E105" s="3" t="s">
        <v>61</v>
      </c>
      <c r="F105" s="3" t="s">
        <v>105</v>
      </c>
      <c r="G105" s="3" t="s">
        <v>61</v>
      </c>
      <c r="H105" s="3" t="n">
        <v>0.999</v>
      </c>
      <c r="I105" s="13" t="n">
        <f aca="false">IF(G105=E105,1,0)</f>
        <v>1</v>
      </c>
      <c r="K105" s="13" t="n">
        <f aca="false">IF(G105=E105,1,0)</f>
        <v>1</v>
      </c>
      <c r="L105" s="13" t="n">
        <f aca="false">IF(F105=C105,1,0)</f>
        <v>1</v>
      </c>
    </row>
    <row r="106" customFormat="false" ht="13.8" hidden="false" customHeight="false" outlineLevel="0" collapsed="false">
      <c r="A106" s="3" t="n">
        <v>105</v>
      </c>
      <c r="B106" s="3" t="s">
        <v>309</v>
      </c>
      <c r="C106" s="3" t="s">
        <v>133</v>
      </c>
      <c r="D106" s="3" t="s">
        <v>65</v>
      </c>
      <c r="E106" s="3" t="s">
        <v>65</v>
      </c>
      <c r="F106" s="3" t="s">
        <v>133</v>
      </c>
      <c r="G106" s="3" t="s">
        <v>65</v>
      </c>
      <c r="H106" s="3" t="n">
        <v>0.999</v>
      </c>
      <c r="I106" s="13" t="n">
        <f aca="false">IF(G106=E106,1,0)</f>
        <v>1</v>
      </c>
      <c r="K106" s="13" t="n">
        <f aca="false">IF(G106=E106,1,0)</f>
        <v>1</v>
      </c>
      <c r="L106" s="13" t="n">
        <f aca="false">IF(F106=C106,1,0)</f>
        <v>1</v>
      </c>
    </row>
    <row r="107" customFormat="false" ht="13.8" hidden="false" customHeight="false" outlineLevel="0" collapsed="false">
      <c r="A107" s="3" t="n">
        <v>106</v>
      </c>
      <c r="B107" s="3" t="s">
        <v>310</v>
      </c>
      <c r="C107" s="3" t="s">
        <v>133</v>
      </c>
      <c r="D107" s="3" t="s">
        <v>65</v>
      </c>
      <c r="E107" s="3" t="s">
        <v>65</v>
      </c>
      <c r="F107" s="3" t="s">
        <v>133</v>
      </c>
      <c r="G107" s="3" t="s">
        <v>65</v>
      </c>
      <c r="H107" s="3" t="n">
        <v>0.998</v>
      </c>
      <c r="I107" s="13" t="n">
        <f aca="false">IF(G107=E107,1,0)</f>
        <v>1</v>
      </c>
      <c r="K107" s="13" t="n">
        <f aca="false">IF(G107=E107,1,0)</f>
        <v>1</v>
      </c>
      <c r="L107" s="13" t="n">
        <f aca="false">IF(F107=C107,1,0)</f>
        <v>1</v>
      </c>
    </row>
    <row r="108" customFormat="false" ht="13.8" hidden="false" customHeight="false" outlineLevel="0" collapsed="false">
      <c r="A108" s="3" t="n">
        <v>107</v>
      </c>
      <c r="B108" s="3" t="s">
        <v>311</v>
      </c>
      <c r="C108" s="3" t="s">
        <v>105</v>
      </c>
      <c r="D108" s="3" t="s">
        <v>61</v>
      </c>
      <c r="E108" s="3" t="s">
        <v>61</v>
      </c>
      <c r="F108" s="3" t="s">
        <v>105</v>
      </c>
      <c r="G108" s="3" t="s">
        <v>61</v>
      </c>
      <c r="H108" s="3" t="n">
        <v>0.998</v>
      </c>
      <c r="I108" s="13" t="n">
        <f aca="false">IF(G108=E108,1,0)</f>
        <v>1</v>
      </c>
      <c r="K108" s="13" t="n">
        <f aca="false">IF(G108=E108,1,0)</f>
        <v>1</v>
      </c>
      <c r="L108" s="13" t="n">
        <f aca="false">IF(F108=C108,1,0)</f>
        <v>1</v>
      </c>
    </row>
    <row r="109" customFormat="false" ht="13.8" hidden="false" customHeight="false" outlineLevel="0" collapsed="false">
      <c r="A109" s="3" t="n">
        <v>108</v>
      </c>
      <c r="B109" s="3" t="s">
        <v>312</v>
      </c>
      <c r="C109" s="3" t="s">
        <v>105</v>
      </c>
      <c r="D109" s="3" t="s">
        <v>61</v>
      </c>
      <c r="E109" s="3" t="s">
        <v>61</v>
      </c>
      <c r="F109" s="3" t="s">
        <v>105</v>
      </c>
      <c r="G109" s="3" t="s">
        <v>61</v>
      </c>
      <c r="H109" s="3" t="n">
        <v>0.998</v>
      </c>
      <c r="I109" s="13" t="n">
        <f aca="false">IF(G109=E109,1,0)</f>
        <v>1</v>
      </c>
      <c r="K109" s="13" t="n">
        <f aca="false">IF(G109=E109,1,0)</f>
        <v>1</v>
      </c>
      <c r="L109" s="13" t="n">
        <f aca="false">IF(F109=C109,1,0)</f>
        <v>1</v>
      </c>
    </row>
    <row r="110" customFormat="false" ht="13.8" hidden="false" customHeight="false" outlineLevel="0" collapsed="false">
      <c r="A110" s="3" t="n">
        <v>109</v>
      </c>
      <c r="B110" s="3" t="s">
        <v>313</v>
      </c>
      <c r="C110" s="3" t="s">
        <v>105</v>
      </c>
      <c r="D110" s="3" t="s">
        <v>61</v>
      </c>
      <c r="E110" s="3" t="s">
        <v>61</v>
      </c>
      <c r="F110" s="3" t="s">
        <v>105</v>
      </c>
      <c r="G110" s="3" t="s">
        <v>61</v>
      </c>
      <c r="H110" s="3" t="n">
        <v>0.998</v>
      </c>
      <c r="I110" s="13" t="n">
        <f aca="false">IF(G110=E110,1,0)</f>
        <v>1</v>
      </c>
      <c r="K110" s="13" t="n">
        <f aca="false">IF(G110=E110,1,0)</f>
        <v>1</v>
      </c>
      <c r="L110" s="13" t="n">
        <f aca="false">IF(F110=C110,1,0)</f>
        <v>1</v>
      </c>
    </row>
    <row r="111" customFormat="false" ht="13.8" hidden="false" customHeight="false" outlineLevel="0" collapsed="false">
      <c r="A111" s="3" t="n">
        <v>110</v>
      </c>
      <c r="B111" s="3" t="s">
        <v>314</v>
      </c>
      <c r="C111" s="3" t="s">
        <v>143</v>
      </c>
      <c r="D111" s="3" t="s">
        <v>198</v>
      </c>
      <c r="E111" s="3" t="s">
        <v>67</v>
      </c>
      <c r="F111" s="3" t="s">
        <v>143</v>
      </c>
      <c r="G111" s="3" t="s">
        <v>67</v>
      </c>
      <c r="H111" s="3" t="n">
        <v>0.998</v>
      </c>
      <c r="I111" s="13" t="n">
        <f aca="false">IF(G111=E111,1,0)</f>
        <v>1</v>
      </c>
      <c r="K111" s="13" t="n">
        <f aca="false">IF(G111=E111,1,0)</f>
        <v>1</v>
      </c>
      <c r="L111" s="13" t="n">
        <f aca="false">IF(F111=C111,1,0)</f>
        <v>1</v>
      </c>
    </row>
    <row r="112" customFormat="false" ht="13.8" hidden="false" customHeight="false" outlineLevel="0" collapsed="false">
      <c r="A112" s="3" t="n">
        <v>111</v>
      </c>
      <c r="B112" s="3" t="s">
        <v>122</v>
      </c>
      <c r="C112" s="3" t="s">
        <v>105</v>
      </c>
      <c r="D112" s="3" t="s">
        <v>61</v>
      </c>
      <c r="E112" s="3" t="s">
        <v>61</v>
      </c>
      <c r="F112" s="3" t="s">
        <v>105</v>
      </c>
      <c r="G112" s="3" t="s">
        <v>61</v>
      </c>
      <c r="H112" s="3" t="n">
        <v>0.998</v>
      </c>
      <c r="I112" s="13" t="n">
        <f aca="false">IF(G112=E112,1,0)</f>
        <v>1</v>
      </c>
      <c r="K112" s="13" t="n">
        <f aca="false">IF(G112=E112,1,0)</f>
        <v>1</v>
      </c>
      <c r="L112" s="13" t="n">
        <f aca="false">IF(F112=C112,1,0)</f>
        <v>1</v>
      </c>
    </row>
    <row r="113" customFormat="false" ht="13.8" hidden="false" customHeight="false" outlineLevel="0" collapsed="false">
      <c r="A113" s="3" t="n">
        <v>112</v>
      </c>
      <c r="B113" s="3" t="s">
        <v>315</v>
      </c>
      <c r="C113" s="3" t="s">
        <v>143</v>
      </c>
      <c r="D113" s="3" t="s">
        <v>198</v>
      </c>
      <c r="E113" s="3" t="s">
        <v>67</v>
      </c>
      <c r="F113" s="3" t="s">
        <v>143</v>
      </c>
      <c r="G113" s="3" t="s">
        <v>67</v>
      </c>
      <c r="H113" s="3" t="n">
        <v>0.998</v>
      </c>
      <c r="I113" s="13" t="n">
        <f aca="false">IF(G113=E113,1,0)</f>
        <v>1</v>
      </c>
      <c r="K113" s="13" t="n">
        <f aca="false">IF(G113=E113,1,0)</f>
        <v>1</v>
      </c>
      <c r="L113" s="13" t="n">
        <f aca="false">IF(F113=C113,1,0)</f>
        <v>1</v>
      </c>
    </row>
    <row r="114" customFormat="false" ht="13.8" hidden="false" customHeight="false" outlineLevel="0" collapsed="false">
      <c r="A114" s="3" t="n">
        <v>113</v>
      </c>
      <c r="B114" s="3" t="s">
        <v>316</v>
      </c>
      <c r="C114" s="3" t="s">
        <v>143</v>
      </c>
      <c r="D114" s="3" t="s">
        <v>198</v>
      </c>
      <c r="E114" s="3" t="s">
        <v>67</v>
      </c>
      <c r="F114" s="3" t="s">
        <v>143</v>
      </c>
      <c r="G114" s="3" t="s">
        <v>67</v>
      </c>
      <c r="H114" s="3" t="n">
        <v>0.998</v>
      </c>
      <c r="I114" s="13" t="n">
        <f aca="false">IF(G114=E114,1,0)</f>
        <v>1</v>
      </c>
      <c r="K114" s="13" t="n">
        <f aca="false">IF(G114=E114,1,0)</f>
        <v>1</v>
      </c>
      <c r="L114" s="13" t="n">
        <f aca="false">IF(F114=C114,1,0)</f>
        <v>1</v>
      </c>
    </row>
    <row r="115" customFormat="false" ht="13.8" hidden="false" customHeight="false" outlineLevel="0" collapsed="false">
      <c r="A115" s="3" t="n">
        <v>114</v>
      </c>
      <c r="B115" s="3" t="s">
        <v>317</v>
      </c>
      <c r="C115" s="3" t="s">
        <v>105</v>
      </c>
      <c r="D115" s="3" t="s">
        <v>61</v>
      </c>
      <c r="E115" s="3" t="s">
        <v>61</v>
      </c>
      <c r="F115" s="3" t="s">
        <v>105</v>
      </c>
      <c r="G115" s="3" t="s">
        <v>61</v>
      </c>
      <c r="H115" s="3" t="n">
        <v>0.998</v>
      </c>
      <c r="I115" s="13" t="n">
        <f aca="false">IF(G115=E115,1,0)</f>
        <v>1</v>
      </c>
      <c r="K115" s="13" t="n">
        <f aca="false">IF(G115=E115,1,0)</f>
        <v>1</v>
      </c>
      <c r="L115" s="13" t="n">
        <f aca="false">IF(F115=C115,1,0)</f>
        <v>1</v>
      </c>
    </row>
    <row r="116" customFormat="false" ht="13.8" hidden="false" customHeight="false" outlineLevel="0" collapsed="false">
      <c r="A116" s="3" t="n">
        <v>115</v>
      </c>
      <c r="B116" s="3" t="s">
        <v>318</v>
      </c>
      <c r="C116" s="3" t="s">
        <v>105</v>
      </c>
      <c r="D116" s="3" t="s">
        <v>77</v>
      </c>
      <c r="E116" s="3" t="s">
        <v>77</v>
      </c>
      <c r="F116" s="3" t="s">
        <v>105</v>
      </c>
      <c r="G116" s="3" t="s">
        <v>77</v>
      </c>
      <c r="H116" s="3" t="n">
        <v>0.998</v>
      </c>
      <c r="I116" s="13" t="n">
        <f aca="false">IF(G116=E116,1,0)</f>
        <v>1</v>
      </c>
      <c r="K116" s="13" t="n">
        <f aca="false">IF(G116=E116,1,0)</f>
        <v>1</v>
      </c>
      <c r="L116" s="13" t="n">
        <f aca="false">IF(F116=C116,1,0)</f>
        <v>1</v>
      </c>
    </row>
    <row r="117" customFormat="false" ht="13.8" hidden="false" customHeight="false" outlineLevel="0" collapsed="false">
      <c r="A117" s="3" t="n">
        <v>116</v>
      </c>
      <c r="B117" s="3" t="s">
        <v>319</v>
      </c>
      <c r="C117" s="3" t="s">
        <v>105</v>
      </c>
      <c r="D117" s="3" t="s">
        <v>61</v>
      </c>
      <c r="E117" s="3" t="s">
        <v>61</v>
      </c>
      <c r="F117" s="3" t="s">
        <v>105</v>
      </c>
      <c r="G117" s="3" t="s">
        <v>61</v>
      </c>
      <c r="H117" s="3" t="n">
        <v>0.998</v>
      </c>
      <c r="I117" s="13" t="n">
        <f aca="false">IF(G117=E117,1,0)</f>
        <v>1</v>
      </c>
      <c r="K117" s="13" t="n">
        <f aca="false">IF(G117=E117,1,0)</f>
        <v>1</v>
      </c>
      <c r="L117" s="13" t="n">
        <f aca="false">IF(F117=C117,1,0)</f>
        <v>1</v>
      </c>
    </row>
    <row r="118" customFormat="false" ht="13.8" hidden="false" customHeight="false" outlineLevel="0" collapsed="false">
      <c r="A118" s="3" t="n">
        <v>117</v>
      </c>
      <c r="B118" s="3" t="s">
        <v>320</v>
      </c>
      <c r="C118" s="3" t="s">
        <v>143</v>
      </c>
      <c r="D118" s="3" t="s">
        <v>256</v>
      </c>
      <c r="E118" s="3" t="s">
        <v>256</v>
      </c>
      <c r="F118" s="3" t="s">
        <v>143</v>
      </c>
      <c r="G118" s="3" t="s">
        <v>67</v>
      </c>
      <c r="H118" s="3" t="n">
        <v>0.998</v>
      </c>
      <c r="I118" s="13" t="n">
        <f aca="false">IF(G118=E118,1,0)</f>
        <v>0</v>
      </c>
      <c r="J118" s="3" t="s">
        <v>257</v>
      </c>
    </row>
    <row r="119" customFormat="false" ht="13.8" hidden="false" customHeight="false" outlineLevel="0" collapsed="false">
      <c r="A119" s="3" t="n">
        <v>118</v>
      </c>
      <c r="B119" s="3" t="s">
        <v>321</v>
      </c>
      <c r="C119" s="3" t="s">
        <v>105</v>
      </c>
      <c r="D119" s="3" t="s">
        <v>77</v>
      </c>
      <c r="E119" s="3" t="s">
        <v>77</v>
      </c>
      <c r="F119" s="3" t="s">
        <v>105</v>
      </c>
      <c r="G119" s="3" t="s">
        <v>77</v>
      </c>
      <c r="H119" s="3" t="n">
        <v>0.998</v>
      </c>
      <c r="I119" s="13" t="n">
        <f aca="false">IF(G119=E119,1,0)</f>
        <v>1</v>
      </c>
      <c r="K119" s="13" t="n">
        <f aca="false">IF(G119=E119,1,0)</f>
        <v>1</v>
      </c>
      <c r="L119" s="13" t="n">
        <f aca="false">IF(F119=C119,1,0)</f>
        <v>1</v>
      </c>
    </row>
    <row r="120" customFormat="false" ht="13.8" hidden="false" customHeight="false" outlineLevel="0" collapsed="false">
      <c r="A120" s="3" t="n">
        <v>119</v>
      </c>
      <c r="B120" s="3" t="s">
        <v>322</v>
      </c>
      <c r="C120" s="3" t="s">
        <v>150</v>
      </c>
      <c r="D120" s="3" t="s">
        <v>254</v>
      </c>
      <c r="E120" s="3" t="s">
        <v>85</v>
      </c>
      <c r="F120" s="3" t="s">
        <v>150</v>
      </c>
      <c r="G120" s="3" t="s">
        <v>85</v>
      </c>
      <c r="H120" s="3" t="n">
        <v>0.998</v>
      </c>
      <c r="I120" s="13" t="n">
        <f aca="false">IF(G120=E120,1,0)</f>
        <v>1</v>
      </c>
      <c r="K120" s="13" t="n">
        <f aca="false">IF(G120=E120,1,0)</f>
        <v>1</v>
      </c>
      <c r="L120" s="13" t="n">
        <f aca="false">IF(F120=C120,1,0)</f>
        <v>1</v>
      </c>
    </row>
    <row r="121" customFormat="false" ht="13.8" hidden="false" customHeight="false" outlineLevel="0" collapsed="false">
      <c r="A121" s="3" t="n">
        <v>120</v>
      </c>
      <c r="B121" s="3" t="s">
        <v>323</v>
      </c>
      <c r="C121" s="3" t="s">
        <v>105</v>
      </c>
      <c r="D121" s="3" t="s">
        <v>61</v>
      </c>
      <c r="E121" s="3" t="s">
        <v>61</v>
      </c>
      <c r="F121" s="3" t="s">
        <v>105</v>
      </c>
      <c r="G121" s="3" t="s">
        <v>61</v>
      </c>
      <c r="H121" s="3" t="n">
        <v>0.997</v>
      </c>
      <c r="I121" s="13" t="n">
        <f aca="false">IF(G121=E121,1,0)</f>
        <v>1</v>
      </c>
      <c r="K121" s="13" t="n">
        <f aca="false">IF(G121=E121,1,0)</f>
        <v>1</v>
      </c>
      <c r="L121" s="13" t="n">
        <f aca="false">IF(F121=C121,1,0)</f>
        <v>1</v>
      </c>
    </row>
    <row r="122" customFormat="false" ht="13.8" hidden="false" customHeight="false" outlineLevel="0" collapsed="false">
      <c r="A122" s="3" t="n">
        <v>121</v>
      </c>
      <c r="B122" s="3" t="s">
        <v>324</v>
      </c>
      <c r="C122" s="3" t="s">
        <v>105</v>
      </c>
      <c r="D122" s="3" t="s">
        <v>77</v>
      </c>
      <c r="E122" s="3" t="s">
        <v>77</v>
      </c>
      <c r="F122" s="3" t="s">
        <v>105</v>
      </c>
      <c r="G122" s="3" t="s">
        <v>77</v>
      </c>
      <c r="H122" s="3" t="n">
        <v>0.997</v>
      </c>
      <c r="I122" s="13" t="n">
        <f aca="false">IF(G122=E122,1,0)</f>
        <v>1</v>
      </c>
      <c r="K122" s="13" t="n">
        <f aca="false">IF(G122=E122,1,0)</f>
        <v>1</v>
      </c>
      <c r="L122" s="13" t="n">
        <f aca="false">IF(F122=C122,1,0)</f>
        <v>1</v>
      </c>
    </row>
    <row r="123" customFormat="false" ht="13.8" hidden="false" customHeight="false" outlineLevel="0" collapsed="false">
      <c r="A123" s="3" t="n">
        <v>122</v>
      </c>
      <c r="B123" s="3" t="s">
        <v>325</v>
      </c>
      <c r="C123" s="3" t="s">
        <v>105</v>
      </c>
      <c r="D123" s="3" t="s">
        <v>77</v>
      </c>
      <c r="E123" s="3" t="s">
        <v>77</v>
      </c>
      <c r="F123" s="3" t="s">
        <v>105</v>
      </c>
      <c r="G123" s="3" t="s">
        <v>77</v>
      </c>
      <c r="H123" s="3" t="n">
        <v>0.997</v>
      </c>
      <c r="I123" s="13" t="n">
        <f aca="false">IF(G123=E123,1,0)</f>
        <v>1</v>
      </c>
      <c r="K123" s="13" t="n">
        <f aca="false">IF(G123=E123,1,0)</f>
        <v>1</v>
      </c>
      <c r="L123" s="13" t="n">
        <f aca="false">IF(F123=C123,1,0)</f>
        <v>1</v>
      </c>
    </row>
    <row r="124" customFormat="false" ht="13.8" hidden="false" customHeight="false" outlineLevel="0" collapsed="false">
      <c r="A124" s="3" t="n">
        <v>123</v>
      </c>
      <c r="B124" s="3" t="s">
        <v>326</v>
      </c>
      <c r="C124" s="3" t="s">
        <v>105</v>
      </c>
      <c r="D124" s="3" t="s">
        <v>61</v>
      </c>
      <c r="E124" s="3" t="s">
        <v>61</v>
      </c>
      <c r="F124" s="3" t="s">
        <v>105</v>
      </c>
      <c r="G124" s="3" t="s">
        <v>61</v>
      </c>
      <c r="H124" s="3" t="n">
        <v>0.997</v>
      </c>
      <c r="I124" s="13" t="n">
        <f aca="false">IF(G124=E124,1,0)</f>
        <v>1</v>
      </c>
      <c r="K124" s="13" t="n">
        <f aca="false">IF(G124=E124,1,0)</f>
        <v>1</v>
      </c>
      <c r="L124" s="13" t="n">
        <f aca="false">IF(F124=C124,1,0)</f>
        <v>1</v>
      </c>
    </row>
    <row r="125" customFormat="false" ht="13.8" hidden="false" customHeight="false" outlineLevel="0" collapsed="false">
      <c r="A125" s="3" t="n">
        <v>124</v>
      </c>
      <c r="B125" s="3" t="s">
        <v>327</v>
      </c>
      <c r="C125" s="3" t="s">
        <v>105</v>
      </c>
      <c r="D125" s="3" t="s">
        <v>61</v>
      </c>
      <c r="E125" s="3" t="s">
        <v>61</v>
      </c>
      <c r="F125" s="3" t="s">
        <v>105</v>
      </c>
      <c r="G125" s="3" t="s">
        <v>61</v>
      </c>
      <c r="H125" s="3" t="n">
        <v>0.997</v>
      </c>
      <c r="I125" s="13" t="n">
        <f aca="false">IF(G125=E125,1,0)</f>
        <v>1</v>
      </c>
      <c r="K125" s="13" t="n">
        <f aca="false">IF(G125=E125,1,0)</f>
        <v>1</v>
      </c>
      <c r="L125" s="13" t="n">
        <f aca="false">IF(F125=C125,1,0)</f>
        <v>1</v>
      </c>
    </row>
    <row r="126" customFormat="false" ht="13.8" hidden="false" customHeight="false" outlineLevel="0" collapsed="false">
      <c r="A126" s="3" t="n">
        <v>125</v>
      </c>
      <c r="B126" s="3" t="s">
        <v>328</v>
      </c>
      <c r="C126" s="3" t="s">
        <v>105</v>
      </c>
      <c r="D126" s="3" t="s">
        <v>77</v>
      </c>
      <c r="E126" s="3" t="s">
        <v>77</v>
      </c>
      <c r="F126" s="3" t="s">
        <v>105</v>
      </c>
      <c r="G126" s="3" t="s">
        <v>77</v>
      </c>
      <c r="H126" s="3" t="n">
        <v>0.997</v>
      </c>
      <c r="I126" s="13" t="n">
        <f aca="false">IF(G126=E126,1,0)</f>
        <v>1</v>
      </c>
      <c r="K126" s="13" t="n">
        <f aca="false">IF(G126=E126,1,0)</f>
        <v>1</v>
      </c>
      <c r="L126" s="13" t="n">
        <f aca="false">IF(F126=C126,1,0)</f>
        <v>1</v>
      </c>
    </row>
    <row r="127" customFormat="false" ht="13.8" hidden="false" customHeight="false" outlineLevel="0" collapsed="false">
      <c r="A127" s="3" t="n">
        <v>126</v>
      </c>
      <c r="B127" s="3" t="s">
        <v>329</v>
      </c>
      <c r="C127" s="3" t="s">
        <v>150</v>
      </c>
      <c r="D127" s="3" t="s">
        <v>245</v>
      </c>
      <c r="E127" s="3" t="s">
        <v>83</v>
      </c>
      <c r="F127" s="3" t="s">
        <v>150</v>
      </c>
      <c r="G127" s="3" t="s">
        <v>83</v>
      </c>
      <c r="H127" s="3" t="n">
        <v>0.997</v>
      </c>
      <c r="I127" s="13" t="n">
        <f aca="false">IF(G127=E127,1,0)</f>
        <v>1</v>
      </c>
      <c r="K127" s="13" t="n">
        <f aca="false">IF(G127=E127,1,0)</f>
        <v>1</v>
      </c>
      <c r="L127" s="13" t="n">
        <f aca="false">IF(F127=C127,1,0)</f>
        <v>1</v>
      </c>
    </row>
    <row r="128" customFormat="false" ht="13.8" hidden="false" customHeight="false" outlineLevel="0" collapsed="false">
      <c r="A128" s="3" t="n">
        <v>127</v>
      </c>
      <c r="B128" s="3" t="s">
        <v>330</v>
      </c>
      <c r="C128" s="3" t="s">
        <v>105</v>
      </c>
      <c r="D128" s="3" t="s">
        <v>61</v>
      </c>
      <c r="E128" s="3" t="s">
        <v>61</v>
      </c>
      <c r="F128" s="3" t="s">
        <v>105</v>
      </c>
      <c r="G128" s="3" t="s">
        <v>61</v>
      </c>
      <c r="H128" s="3" t="n">
        <v>0.997</v>
      </c>
      <c r="I128" s="13" t="n">
        <f aca="false">IF(G128=E128,1,0)</f>
        <v>1</v>
      </c>
      <c r="K128" s="13" t="n">
        <f aca="false">IF(G128=E128,1,0)</f>
        <v>1</v>
      </c>
      <c r="L128" s="13" t="n">
        <f aca="false">IF(F128=C128,1,0)</f>
        <v>1</v>
      </c>
    </row>
    <row r="129" customFormat="false" ht="13.8" hidden="false" customHeight="false" outlineLevel="0" collapsed="false">
      <c r="A129" s="3" t="n">
        <v>128</v>
      </c>
      <c r="B129" s="3" t="s">
        <v>331</v>
      </c>
      <c r="C129" s="3" t="s">
        <v>150</v>
      </c>
      <c r="D129" s="3" t="s">
        <v>245</v>
      </c>
      <c r="E129" s="3" t="s">
        <v>83</v>
      </c>
      <c r="F129" s="3" t="s">
        <v>150</v>
      </c>
      <c r="G129" s="3" t="s">
        <v>83</v>
      </c>
      <c r="H129" s="3" t="n">
        <v>0.997</v>
      </c>
      <c r="I129" s="13" t="n">
        <f aca="false">IF(G129=E129,1,0)</f>
        <v>1</v>
      </c>
      <c r="K129" s="13" t="n">
        <f aca="false">IF(G129=E129,1,0)</f>
        <v>1</v>
      </c>
      <c r="L129" s="13" t="n">
        <f aca="false">IF(F129=C129,1,0)</f>
        <v>1</v>
      </c>
    </row>
    <row r="130" customFormat="false" ht="13.8" hidden="false" customHeight="false" outlineLevel="0" collapsed="false">
      <c r="A130" s="3" t="n">
        <v>129</v>
      </c>
      <c r="B130" s="3" t="s">
        <v>332</v>
      </c>
      <c r="C130" s="3" t="s">
        <v>105</v>
      </c>
      <c r="D130" s="3" t="s">
        <v>61</v>
      </c>
      <c r="E130" s="3" t="s">
        <v>61</v>
      </c>
      <c r="F130" s="3" t="s">
        <v>105</v>
      </c>
      <c r="G130" s="3" t="s">
        <v>61</v>
      </c>
      <c r="H130" s="3" t="n">
        <v>0.996</v>
      </c>
      <c r="I130" s="13" t="n">
        <f aca="false">IF(G130=E130,1,0)</f>
        <v>1</v>
      </c>
      <c r="K130" s="13" t="n">
        <f aca="false">IF(G130=E130,1,0)</f>
        <v>1</v>
      </c>
      <c r="L130" s="13" t="n">
        <f aca="false">IF(F130=C130,1,0)</f>
        <v>1</v>
      </c>
    </row>
    <row r="131" customFormat="false" ht="13.8" hidden="false" customHeight="false" outlineLevel="0" collapsed="false">
      <c r="A131" s="3" t="n">
        <v>130</v>
      </c>
      <c r="B131" s="3" t="s">
        <v>333</v>
      </c>
      <c r="C131" s="3" t="s">
        <v>105</v>
      </c>
      <c r="D131" s="3" t="s">
        <v>61</v>
      </c>
      <c r="E131" s="3" t="s">
        <v>61</v>
      </c>
      <c r="F131" s="3" t="s">
        <v>105</v>
      </c>
      <c r="G131" s="3" t="s">
        <v>61</v>
      </c>
      <c r="H131" s="3" t="n">
        <v>0.996</v>
      </c>
      <c r="I131" s="13" t="n">
        <f aca="false">IF(G131=E131,1,0)</f>
        <v>1</v>
      </c>
      <c r="K131" s="13" t="n">
        <f aca="false">IF(G131=E131,1,0)</f>
        <v>1</v>
      </c>
      <c r="L131" s="13" t="n">
        <f aca="false">IF(F131=C131,1,0)</f>
        <v>1</v>
      </c>
    </row>
    <row r="132" customFormat="false" ht="13.8" hidden="false" customHeight="false" outlineLevel="0" collapsed="false">
      <c r="A132" s="3" t="n">
        <v>131</v>
      </c>
      <c r="B132" s="3" t="s">
        <v>334</v>
      </c>
      <c r="C132" s="3" t="s">
        <v>105</v>
      </c>
      <c r="D132" s="3" t="s">
        <v>61</v>
      </c>
      <c r="E132" s="3" t="s">
        <v>61</v>
      </c>
      <c r="F132" s="3" t="s">
        <v>105</v>
      </c>
      <c r="G132" s="3" t="s">
        <v>61</v>
      </c>
      <c r="H132" s="3" t="n">
        <v>0.996</v>
      </c>
      <c r="I132" s="13" t="n">
        <f aca="false">IF(G132=E132,1,0)</f>
        <v>1</v>
      </c>
      <c r="K132" s="13" t="n">
        <f aca="false">IF(G132=E132,1,0)</f>
        <v>1</v>
      </c>
      <c r="L132" s="13" t="n">
        <f aca="false">IF(F132=C132,1,0)</f>
        <v>1</v>
      </c>
    </row>
    <row r="133" customFormat="false" ht="13.8" hidden="false" customHeight="false" outlineLevel="0" collapsed="false">
      <c r="A133" s="3" t="n">
        <v>132</v>
      </c>
      <c r="B133" s="3" t="s">
        <v>335</v>
      </c>
      <c r="C133" s="3" t="s">
        <v>105</v>
      </c>
      <c r="D133" s="3" t="s">
        <v>61</v>
      </c>
      <c r="E133" s="3" t="s">
        <v>61</v>
      </c>
      <c r="F133" s="3" t="s">
        <v>105</v>
      </c>
      <c r="G133" s="3" t="s">
        <v>61</v>
      </c>
      <c r="H133" s="3" t="n">
        <v>0.996</v>
      </c>
      <c r="I133" s="13" t="n">
        <f aca="false">IF(G133=E133,1,0)</f>
        <v>1</v>
      </c>
      <c r="K133" s="13" t="n">
        <f aca="false">IF(G133=E133,1,0)</f>
        <v>1</v>
      </c>
      <c r="L133" s="13" t="n">
        <f aca="false">IF(F133=C133,1,0)</f>
        <v>1</v>
      </c>
    </row>
    <row r="134" customFormat="false" ht="13.8" hidden="false" customHeight="false" outlineLevel="0" collapsed="false">
      <c r="A134" s="3" t="n">
        <v>133</v>
      </c>
      <c r="B134" s="3" t="s">
        <v>336</v>
      </c>
      <c r="C134" s="3" t="s">
        <v>105</v>
      </c>
      <c r="D134" s="3" t="s">
        <v>61</v>
      </c>
      <c r="E134" s="3" t="s">
        <v>61</v>
      </c>
      <c r="F134" s="3" t="s">
        <v>143</v>
      </c>
      <c r="G134" s="3" t="s">
        <v>67</v>
      </c>
      <c r="H134" s="3" t="n">
        <v>0.996</v>
      </c>
      <c r="I134" s="13" t="n">
        <f aca="false">IF(G134=E134,1,0)</f>
        <v>0</v>
      </c>
      <c r="K134" s="13" t="n">
        <f aca="false">IF(G134=E134,1,0)</f>
        <v>0</v>
      </c>
      <c r="L134" s="13" t="n">
        <f aca="false">IF(F134=C134,1,0)</f>
        <v>0</v>
      </c>
    </row>
    <row r="135" customFormat="false" ht="13.8" hidden="false" customHeight="false" outlineLevel="0" collapsed="false">
      <c r="A135" s="3" t="n">
        <v>134</v>
      </c>
      <c r="B135" s="3" t="s">
        <v>337</v>
      </c>
      <c r="C135" s="3" t="s">
        <v>105</v>
      </c>
      <c r="D135" s="3" t="s">
        <v>61</v>
      </c>
      <c r="E135" s="3" t="s">
        <v>61</v>
      </c>
      <c r="F135" s="3" t="s">
        <v>105</v>
      </c>
      <c r="G135" s="3" t="s">
        <v>61</v>
      </c>
      <c r="H135" s="3" t="n">
        <v>0.996</v>
      </c>
      <c r="I135" s="13" t="n">
        <f aca="false">IF(G135=E135,1,0)</f>
        <v>1</v>
      </c>
      <c r="K135" s="13" t="n">
        <f aca="false">IF(G135=E135,1,0)</f>
        <v>1</v>
      </c>
      <c r="L135" s="13" t="n">
        <f aca="false">IF(F135=C135,1,0)</f>
        <v>1</v>
      </c>
    </row>
    <row r="136" customFormat="false" ht="13.8" hidden="false" customHeight="false" outlineLevel="0" collapsed="false">
      <c r="A136" s="3" t="n">
        <v>135</v>
      </c>
      <c r="B136" s="3" t="s">
        <v>338</v>
      </c>
      <c r="C136" s="3" t="s">
        <v>150</v>
      </c>
      <c r="D136" s="3" t="s">
        <v>339</v>
      </c>
      <c r="E136" s="3" t="s">
        <v>63</v>
      </c>
      <c r="F136" s="3" t="s">
        <v>150</v>
      </c>
      <c r="G136" s="3" t="s">
        <v>63</v>
      </c>
      <c r="H136" s="3" t="n">
        <v>0.996</v>
      </c>
      <c r="I136" s="13" t="n">
        <f aca="false">IF(G136=E136,1,0)</f>
        <v>1</v>
      </c>
      <c r="K136" s="13" t="n">
        <f aca="false">IF(G136=E136,1,0)</f>
        <v>1</v>
      </c>
      <c r="L136" s="13" t="n">
        <f aca="false">IF(F136=C136,1,0)</f>
        <v>1</v>
      </c>
    </row>
    <row r="137" customFormat="false" ht="13.8" hidden="false" customHeight="false" outlineLevel="0" collapsed="false">
      <c r="A137" s="3" t="n">
        <v>136</v>
      </c>
      <c r="B137" s="3" t="s">
        <v>340</v>
      </c>
      <c r="C137" s="3" t="s">
        <v>105</v>
      </c>
      <c r="D137" s="3" t="s">
        <v>61</v>
      </c>
      <c r="E137" s="3" t="s">
        <v>61</v>
      </c>
      <c r="F137" s="3" t="s">
        <v>105</v>
      </c>
      <c r="G137" s="3" t="s">
        <v>61</v>
      </c>
      <c r="H137" s="3" t="n">
        <v>0.996</v>
      </c>
      <c r="I137" s="13" t="n">
        <f aca="false">IF(G137=E137,1,0)</f>
        <v>1</v>
      </c>
      <c r="K137" s="13" t="n">
        <f aca="false">IF(G137=E137,1,0)</f>
        <v>1</v>
      </c>
      <c r="L137" s="13" t="n">
        <f aca="false">IF(F137=C137,1,0)</f>
        <v>1</v>
      </c>
    </row>
    <row r="138" customFormat="false" ht="13.8" hidden="false" customHeight="false" outlineLevel="0" collapsed="false">
      <c r="A138" s="3" t="n">
        <v>137</v>
      </c>
      <c r="B138" s="3" t="s">
        <v>341</v>
      </c>
      <c r="C138" s="3" t="s">
        <v>105</v>
      </c>
      <c r="D138" s="3" t="s">
        <v>77</v>
      </c>
      <c r="E138" s="3" t="s">
        <v>77</v>
      </c>
      <c r="F138" s="3" t="s">
        <v>143</v>
      </c>
      <c r="G138" s="3" t="s">
        <v>79</v>
      </c>
      <c r="H138" s="3" t="n">
        <v>0.996</v>
      </c>
      <c r="I138" s="13" t="n">
        <f aca="false">IF(G138=E138,1,0)</f>
        <v>0</v>
      </c>
      <c r="K138" s="13" t="n">
        <f aca="false">IF(G138=E138,1,0)</f>
        <v>0</v>
      </c>
      <c r="L138" s="13" t="n">
        <f aca="false">IF(F138=C138,1,0)</f>
        <v>0</v>
      </c>
    </row>
    <row r="139" customFormat="false" ht="13.8" hidden="false" customHeight="false" outlineLevel="0" collapsed="false">
      <c r="A139" s="3" t="n">
        <v>138</v>
      </c>
      <c r="B139" s="3" t="s">
        <v>342</v>
      </c>
      <c r="C139" s="3" t="s">
        <v>105</v>
      </c>
      <c r="D139" s="3" t="s">
        <v>61</v>
      </c>
      <c r="E139" s="3" t="s">
        <v>61</v>
      </c>
      <c r="F139" s="3" t="s">
        <v>105</v>
      </c>
      <c r="G139" s="3" t="s">
        <v>61</v>
      </c>
      <c r="H139" s="3" t="n">
        <v>0.996</v>
      </c>
      <c r="I139" s="13" t="n">
        <f aca="false">IF(G139=E139,1,0)</f>
        <v>1</v>
      </c>
      <c r="K139" s="13" t="n">
        <f aca="false">IF(G139=E139,1,0)</f>
        <v>1</v>
      </c>
      <c r="L139" s="13" t="n">
        <f aca="false">IF(F139=C139,1,0)</f>
        <v>1</v>
      </c>
    </row>
    <row r="140" customFormat="false" ht="13.8" hidden="false" customHeight="false" outlineLevel="0" collapsed="false">
      <c r="A140" s="3" t="n">
        <v>139</v>
      </c>
      <c r="B140" s="3" t="s">
        <v>343</v>
      </c>
      <c r="C140" s="3" t="s">
        <v>105</v>
      </c>
      <c r="D140" s="3" t="s">
        <v>61</v>
      </c>
      <c r="E140" s="3" t="s">
        <v>61</v>
      </c>
      <c r="F140" s="3" t="s">
        <v>143</v>
      </c>
      <c r="G140" s="3" t="s">
        <v>67</v>
      </c>
      <c r="H140" s="3" t="n">
        <v>0.995</v>
      </c>
      <c r="I140" s="13" t="n">
        <f aca="false">IF(G140=E140,1,0)</f>
        <v>0</v>
      </c>
      <c r="K140" s="13" t="n">
        <f aca="false">IF(G140=E140,1,0)</f>
        <v>0</v>
      </c>
      <c r="L140" s="13" t="n">
        <f aca="false">IF(F140=C140,1,0)</f>
        <v>0</v>
      </c>
    </row>
    <row r="141" customFormat="false" ht="13.8" hidden="false" customHeight="false" outlineLevel="0" collapsed="false">
      <c r="A141" s="3" t="n">
        <v>140</v>
      </c>
      <c r="B141" s="3" t="s">
        <v>344</v>
      </c>
      <c r="C141" s="3" t="s">
        <v>105</v>
      </c>
      <c r="D141" s="3" t="s">
        <v>61</v>
      </c>
      <c r="E141" s="3" t="s">
        <v>61</v>
      </c>
      <c r="F141" s="3" t="s">
        <v>105</v>
      </c>
      <c r="G141" s="3" t="s">
        <v>61</v>
      </c>
      <c r="H141" s="3" t="n">
        <v>0.995</v>
      </c>
      <c r="I141" s="13" t="n">
        <f aca="false">IF(G141=E141,1,0)</f>
        <v>1</v>
      </c>
      <c r="K141" s="13" t="n">
        <f aca="false">IF(G141=E141,1,0)</f>
        <v>1</v>
      </c>
      <c r="L141" s="13" t="n">
        <f aca="false">IF(F141=C141,1,0)</f>
        <v>1</v>
      </c>
    </row>
    <row r="142" customFormat="false" ht="13.8" hidden="false" customHeight="false" outlineLevel="0" collapsed="false">
      <c r="A142" s="3" t="n">
        <v>141</v>
      </c>
      <c r="B142" s="3" t="s">
        <v>345</v>
      </c>
      <c r="C142" s="3" t="s">
        <v>105</v>
      </c>
      <c r="D142" s="3" t="s">
        <v>77</v>
      </c>
      <c r="E142" s="3" t="s">
        <v>77</v>
      </c>
      <c r="F142" s="3" t="s">
        <v>143</v>
      </c>
      <c r="G142" s="3" t="s">
        <v>67</v>
      </c>
      <c r="H142" s="3" t="n">
        <v>0.995</v>
      </c>
      <c r="I142" s="13" t="n">
        <f aca="false">IF(G142=E142,1,0)</f>
        <v>0</v>
      </c>
      <c r="K142" s="13" t="n">
        <f aca="false">IF(G142=E142,1,0)</f>
        <v>0</v>
      </c>
      <c r="L142" s="13" t="n">
        <f aca="false">IF(F142=C142,1,0)</f>
        <v>0</v>
      </c>
    </row>
    <row r="143" customFormat="false" ht="13.8" hidden="false" customHeight="false" outlineLevel="0" collapsed="false">
      <c r="A143" s="3" t="n">
        <v>142</v>
      </c>
      <c r="B143" s="3" t="s">
        <v>346</v>
      </c>
      <c r="C143" s="3" t="s">
        <v>105</v>
      </c>
      <c r="D143" s="3" t="s">
        <v>61</v>
      </c>
      <c r="E143" s="3" t="s">
        <v>61</v>
      </c>
      <c r="F143" s="3" t="s">
        <v>105</v>
      </c>
      <c r="G143" s="3" t="s">
        <v>61</v>
      </c>
      <c r="H143" s="3" t="n">
        <v>0.995</v>
      </c>
      <c r="I143" s="13" t="n">
        <f aca="false">IF(G143=E143,1,0)</f>
        <v>1</v>
      </c>
      <c r="K143" s="13" t="n">
        <f aca="false">IF(G143=E143,1,0)</f>
        <v>1</v>
      </c>
      <c r="L143" s="13" t="n">
        <f aca="false">IF(F143=C143,1,0)</f>
        <v>1</v>
      </c>
    </row>
    <row r="144" customFormat="false" ht="13.8" hidden="false" customHeight="false" outlineLevel="0" collapsed="false">
      <c r="A144" s="3" t="n">
        <v>143</v>
      </c>
      <c r="B144" s="3" t="s">
        <v>347</v>
      </c>
      <c r="C144" s="3" t="s">
        <v>143</v>
      </c>
      <c r="D144" s="3" t="s">
        <v>198</v>
      </c>
      <c r="E144" s="3" t="s">
        <v>67</v>
      </c>
      <c r="F144" s="3" t="s">
        <v>143</v>
      </c>
      <c r="G144" s="3" t="s">
        <v>67</v>
      </c>
      <c r="H144" s="3" t="n">
        <v>0.995</v>
      </c>
      <c r="I144" s="13" t="n">
        <f aca="false">IF(G144=E144,1,0)</f>
        <v>1</v>
      </c>
      <c r="K144" s="13" t="n">
        <f aca="false">IF(G144=E144,1,0)</f>
        <v>1</v>
      </c>
      <c r="L144" s="13" t="n">
        <f aca="false">IF(F144=C144,1,0)</f>
        <v>1</v>
      </c>
    </row>
    <row r="145" customFormat="false" ht="13.8" hidden="false" customHeight="false" outlineLevel="0" collapsed="false">
      <c r="A145" s="3" t="n">
        <v>144</v>
      </c>
      <c r="B145" s="3" t="s">
        <v>348</v>
      </c>
      <c r="C145" s="3" t="s">
        <v>143</v>
      </c>
      <c r="D145" s="3" t="s">
        <v>198</v>
      </c>
      <c r="E145" s="3" t="s">
        <v>67</v>
      </c>
      <c r="F145" s="3" t="s">
        <v>143</v>
      </c>
      <c r="G145" s="3" t="s">
        <v>67</v>
      </c>
      <c r="H145" s="3" t="n">
        <v>0.994</v>
      </c>
      <c r="I145" s="13" t="n">
        <f aca="false">IF(G145=E145,1,0)</f>
        <v>1</v>
      </c>
      <c r="K145" s="13" t="n">
        <f aca="false">IF(G145=E145,1,0)</f>
        <v>1</v>
      </c>
      <c r="L145" s="13" t="n">
        <f aca="false">IF(F145=C145,1,0)</f>
        <v>1</v>
      </c>
    </row>
    <row r="146" customFormat="false" ht="13.8" hidden="false" customHeight="false" outlineLevel="0" collapsed="false">
      <c r="A146" s="3" t="n">
        <v>145</v>
      </c>
      <c r="B146" s="3" t="s">
        <v>349</v>
      </c>
      <c r="C146" s="3" t="s">
        <v>143</v>
      </c>
      <c r="D146" s="3" t="s">
        <v>198</v>
      </c>
      <c r="E146" s="3" t="s">
        <v>67</v>
      </c>
      <c r="F146" s="3" t="s">
        <v>143</v>
      </c>
      <c r="G146" s="3" t="s">
        <v>67</v>
      </c>
      <c r="H146" s="3" t="n">
        <v>0.994</v>
      </c>
      <c r="I146" s="13" t="n">
        <f aca="false">IF(G146=E146,1,0)</f>
        <v>1</v>
      </c>
      <c r="K146" s="13" t="n">
        <f aca="false">IF(G146=E146,1,0)</f>
        <v>1</v>
      </c>
      <c r="L146" s="13" t="n">
        <f aca="false">IF(F146=C146,1,0)</f>
        <v>1</v>
      </c>
    </row>
    <row r="147" customFormat="false" ht="13.8" hidden="false" customHeight="false" outlineLevel="0" collapsed="false">
      <c r="A147" s="3" t="n">
        <v>146</v>
      </c>
      <c r="B147" s="3" t="s">
        <v>126</v>
      </c>
      <c r="C147" s="3" t="s">
        <v>105</v>
      </c>
      <c r="D147" s="3" t="s">
        <v>61</v>
      </c>
      <c r="E147" s="3" t="s">
        <v>61</v>
      </c>
      <c r="F147" s="3" t="s">
        <v>143</v>
      </c>
      <c r="G147" s="3" t="s">
        <v>67</v>
      </c>
      <c r="H147" s="3" t="n">
        <v>0.994</v>
      </c>
      <c r="I147" s="13" t="n">
        <f aca="false">IF(G147=E147,1,0)</f>
        <v>0</v>
      </c>
      <c r="K147" s="13" t="n">
        <f aca="false">IF(G147=E147,1,0)</f>
        <v>0</v>
      </c>
      <c r="L147" s="13" t="n">
        <f aca="false">IF(F147=C147,1,0)</f>
        <v>0</v>
      </c>
    </row>
    <row r="148" customFormat="false" ht="13.8" hidden="false" customHeight="false" outlineLevel="0" collapsed="false">
      <c r="A148" s="3" t="n">
        <v>147</v>
      </c>
      <c r="B148" s="3" t="s">
        <v>350</v>
      </c>
      <c r="C148" s="3" t="s">
        <v>143</v>
      </c>
      <c r="D148" s="3" t="s">
        <v>351</v>
      </c>
      <c r="E148" s="3" t="s">
        <v>351</v>
      </c>
      <c r="F148" s="3" t="s">
        <v>143</v>
      </c>
      <c r="G148" s="3" t="s">
        <v>79</v>
      </c>
      <c r="H148" s="3" t="n">
        <v>0.994</v>
      </c>
      <c r="I148" s="13" t="n">
        <f aca="false">IF(G148=E148,1,0)</f>
        <v>0</v>
      </c>
      <c r="J148" s="3" t="s">
        <v>257</v>
      </c>
    </row>
    <row r="149" customFormat="false" ht="13.8" hidden="false" customHeight="false" outlineLevel="0" collapsed="false">
      <c r="A149" s="3" t="n">
        <v>148</v>
      </c>
      <c r="B149" s="3" t="s">
        <v>352</v>
      </c>
      <c r="C149" s="3" t="s">
        <v>105</v>
      </c>
      <c r="D149" s="3" t="s">
        <v>61</v>
      </c>
      <c r="E149" s="3" t="s">
        <v>61</v>
      </c>
      <c r="F149" s="3" t="s">
        <v>150</v>
      </c>
      <c r="G149" s="3" t="s">
        <v>75</v>
      </c>
      <c r="H149" s="3" t="n">
        <v>0.994</v>
      </c>
      <c r="I149" s="13" t="n">
        <f aca="false">IF(G149=E149,1,0)</f>
        <v>0</v>
      </c>
      <c r="K149" s="13" t="n">
        <f aca="false">IF(G149=E149,1,0)</f>
        <v>0</v>
      </c>
      <c r="L149" s="13" t="n">
        <f aca="false">IF(F149=C149,1,0)</f>
        <v>0</v>
      </c>
    </row>
    <row r="150" customFormat="false" ht="13.8" hidden="false" customHeight="false" outlineLevel="0" collapsed="false">
      <c r="A150" s="3" t="n">
        <v>149</v>
      </c>
      <c r="B150" s="3" t="s">
        <v>353</v>
      </c>
      <c r="C150" s="3" t="s">
        <v>133</v>
      </c>
      <c r="D150" s="3" t="s">
        <v>65</v>
      </c>
      <c r="E150" s="3" t="s">
        <v>65</v>
      </c>
      <c r="F150" s="3" t="s">
        <v>133</v>
      </c>
      <c r="G150" s="3" t="s">
        <v>65</v>
      </c>
      <c r="H150" s="3" t="n">
        <v>0.993</v>
      </c>
      <c r="I150" s="13" t="n">
        <f aca="false">IF(G150=E150,1,0)</f>
        <v>1</v>
      </c>
      <c r="K150" s="13" t="n">
        <f aca="false">IF(G150=E150,1,0)</f>
        <v>1</v>
      </c>
      <c r="L150" s="13" t="n">
        <f aca="false">IF(F150=C150,1,0)</f>
        <v>1</v>
      </c>
    </row>
    <row r="151" customFormat="false" ht="13.8" hidden="false" customHeight="false" outlineLevel="0" collapsed="false">
      <c r="A151" s="3" t="n">
        <v>150</v>
      </c>
      <c r="B151" s="3" t="s">
        <v>354</v>
      </c>
      <c r="C151" s="3" t="s">
        <v>105</v>
      </c>
      <c r="D151" s="3" t="s">
        <v>61</v>
      </c>
      <c r="E151" s="3" t="s">
        <v>61</v>
      </c>
      <c r="F151" s="3" t="s">
        <v>105</v>
      </c>
      <c r="G151" s="3" t="s">
        <v>61</v>
      </c>
      <c r="H151" s="3" t="n">
        <v>0.993</v>
      </c>
      <c r="I151" s="13" t="n">
        <f aca="false">IF(G151=E151,1,0)</f>
        <v>1</v>
      </c>
      <c r="K151" s="13" t="n">
        <f aca="false">IF(G151=E151,1,0)</f>
        <v>1</v>
      </c>
      <c r="L151" s="13" t="n">
        <f aca="false">IF(F151=C151,1,0)</f>
        <v>1</v>
      </c>
    </row>
    <row r="152" customFormat="false" ht="13.8" hidden="false" customHeight="false" outlineLevel="0" collapsed="false">
      <c r="A152" s="3" t="n">
        <v>151</v>
      </c>
      <c r="B152" s="3" t="s">
        <v>355</v>
      </c>
      <c r="C152" s="3" t="s">
        <v>133</v>
      </c>
      <c r="D152" s="3" t="s">
        <v>65</v>
      </c>
      <c r="E152" s="3" t="s">
        <v>65</v>
      </c>
      <c r="F152" s="3" t="s">
        <v>133</v>
      </c>
      <c r="G152" s="3" t="s">
        <v>65</v>
      </c>
      <c r="H152" s="3" t="n">
        <v>0.993</v>
      </c>
      <c r="I152" s="13" t="n">
        <f aca="false">IF(G152=E152,1,0)</f>
        <v>1</v>
      </c>
      <c r="K152" s="13" t="n">
        <f aca="false">IF(G152=E152,1,0)</f>
        <v>1</v>
      </c>
      <c r="L152" s="13" t="n">
        <f aca="false">IF(F152=C152,1,0)</f>
        <v>1</v>
      </c>
    </row>
    <row r="153" customFormat="false" ht="13.8" hidden="false" customHeight="false" outlineLevel="0" collapsed="false">
      <c r="A153" s="3" t="n">
        <v>152</v>
      </c>
      <c r="B153" s="3" t="s">
        <v>356</v>
      </c>
      <c r="C153" s="3" t="s">
        <v>105</v>
      </c>
      <c r="D153" s="3" t="s">
        <v>61</v>
      </c>
      <c r="E153" s="3" t="s">
        <v>61</v>
      </c>
      <c r="F153" s="3" t="s">
        <v>105</v>
      </c>
      <c r="G153" s="3" t="s">
        <v>61</v>
      </c>
      <c r="H153" s="3" t="n">
        <v>0.993</v>
      </c>
      <c r="I153" s="13" t="n">
        <f aca="false">IF(G153=E153,1,0)</f>
        <v>1</v>
      </c>
      <c r="K153" s="13" t="n">
        <f aca="false">IF(G153=E153,1,0)</f>
        <v>1</v>
      </c>
      <c r="L153" s="13" t="n">
        <f aca="false">IF(F153=C153,1,0)</f>
        <v>1</v>
      </c>
    </row>
    <row r="154" customFormat="false" ht="13.8" hidden="false" customHeight="false" outlineLevel="0" collapsed="false">
      <c r="A154" s="3" t="n">
        <v>153</v>
      </c>
      <c r="B154" s="3" t="s">
        <v>357</v>
      </c>
      <c r="C154" s="3" t="s">
        <v>105</v>
      </c>
      <c r="D154" s="3" t="s">
        <v>55</v>
      </c>
      <c r="E154" s="3" t="s">
        <v>55</v>
      </c>
      <c r="F154" s="3" t="s">
        <v>105</v>
      </c>
      <c r="G154" s="3" t="s">
        <v>55</v>
      </c>
      <c r="H154" s="3" t="n">
        <v>0.993</v>
      </c>
      <c r="I154" s="13" t="n">
        <f aca="false">IF(G154=E154,1,0)</f>
        <v>1</v>
      </c>
      <c r="K154" s="13" t="n">
        <f aca="false">IF(G154=E154,1,0)</f>
        <v>1</v>
      </c>
      <c r="L154" s="13" t="n">
        <f aca="false">IF(F154=C154,1,0)</f>
        <v>1</v>
      </c>
    </row>
    <row r="155" customFormat="false" ht="13.8" hidden="false" customHeight="false" outlineLevel="0" collapsed="false">
      <c r="A155" s="3" t="n">
        <v>154</v>
      </c>
      <c r="B155" s="3" t="s">
        <v>358</v>
      </c>
      <c r="C155" s="3" t="s">
        <v>150</v>
      </c>
      <c r="D155" s="3" t="s">
        <v>254</v>
      </c>
      <c r="E155" s="3" t="s">
        <v>85</v>
      </c>
      <c r="F155" s="3" t="s">
        <v>150</v>
      </c>
      <c r="G155" s="3" t="s">
        <v>85</v>
      </c>
      <c r="H155" s="3" t="n">
        <v>0.993</v>
      </c>
      <c r="I155" s="13" t="n">
        <f aca="false">IF(G155=E155,1,0)</f>
        <v>1</v>
      </c>
      <c r="K155" s="13" t="n">
        <f aca="false">IF(G155=E155,1,0)</f>
        <v>1</v>
      </c>
      <c r="L155" s="13" t="n">
        <f aca="false">IF(F155=C155,1,0)</f>
        <v>1</v>
      </c>
    </row>
    <row r="156" customFormat="false" ht="13.8" hidden="false" customHeight="false" outlineLevel="0" collapsed="false">
      <c r="A156" s="3" t="n">
        <v>155</v>
      </c>
      <c r="B156" s="3" t="s">
        <v>359</v>
      </c>
      <c r="C156" s="3" t="s">
        <v>105</v>
      </c>
      <c r="D156" s="3" t="s">
        <v>61</v>
      </c>
      <c r="E156" s="3" t="s">
        <v>61</v>
      </c>
      <c r="F156" s="3" t="s">
        <v>143</v>
      </c>
      <c r="G156" s="3" t="s">
        <v>79</v>
      </c>
      <c r="H156" s="3" t="n">
        <v>0.993</v>
      </c>
      <c r="I156" s="13" t="n">
        <f aca="false">IF(G156=E156,1,0)</f>
        <v>0</v>
      </c>
      <c r="K156" s="13" t="n">
        <f aca="false">IF(G156=E156,1,0)</f>
        <v>0</v>
      </c>
      <c r="L156" s="13" t="n">
        <f aca="false">IF(F156=C156,1,0)</f>
        <v>0</v>
      </c>
    </row>
    <row r="157" customFormat="false" ht="13.8" hidden="false" customHeight="false" outlineLevel="0" collapsed="false">
      <c r="A157" s="3" t="n">
        <v>156</v>
      </c>
      <c r="B157" s="3" t="s">
        <v>360</v>
      </c>
      <c r="C157" s="3" t="s">
        <v>150</v>
      </c>
      <c r="D157" s="3" t="s">
        <v>245</v>
      </c>
      <c r="E157" s="3" t="s">
        <v>83</v>
      </c>
      <c r="F157" s="3" t="s">
        <v>150</v>
      </c>
      <c r="G157" s="3" t="s">
        <v>75</v>
      </c>
      <c r="H157" s="3" t="n">
        <v>0.992</v>
      </c>
      <c r="I157" s="13" t="n">
        <f aca="false">IF(G157=E157,1,0)</f>
        <v>0</v>
      </c>
      <c r="K157" s="13" t="n">
        <f aca="false">IF(G157=E157,1,0)</f>
        <v>0</v>
      </c>
      <c r="L157" s="13" t="n">
        <f aca="false">IF(F157=C157,1,0)</f>
        <v>1</v>
      </c>
    </row>
    <row r="158" customFormat="false" ht="13.8" hidden="false" customHeight="false" outlineLevel="0" collapsed="false">
      <c r="A158" s="3" t="n">
        <v>157</v>
      </c>
      <c r="B158" s="3" t="s">
        <v>361</v>
      </c>
      <c r="C158" s="3" t="s">
        <v>105</v>
      </c>
      <c r="D158" s="3" t="s">
        <v>61</v>
      </c>
      <c r="E158" s="3" t="s">
        <v>61</v>
      </c>
      <c r="F158" s="3" t="s">
        <v>105</v>
      </c>
      <c r="G158" s="3" t="s">
        <v>77</v>
      </c>
      <c r="H158" s="3" t="n">
        <v>0.992</v>
      </c>
      <c r="I158" s="13" t="n">
        <f aca="false">IF(G158=E158,1,0)</f>
        <v>0</v>
      </c>
      <c r="K158" s="13" t="n">
        <f aca="false">IF(G158=E158,1,0)</f>
        <v>0</v>
      </c>
      <c r="L158" s="13" t="n">
        <f aca="false">IF(F158=C158,1,0)</f>
        <v>1</v>
      </c>
    </row>
    <row r="159" customFormat="false" ht="13.8" hidden="false" customHeight="false" outlineLevel="0" collapsed="false">
      <c r="A159" s="3" t="n">
        <v>158</v>
      </c>
      <c r="B159" s="3" t="s">
        <v>362</v>
      </c>
      <c r="C159" s="3" t="s">
        <v>105</v>
      </c>
      <c r="D159" s="3" t="s">
        <v>61</v>
      </c>
      <c r="E159" s="3" t="s">
        <v>61</v>
      </c>
      <c r="F159" s="3" t="s">
        <v>105</v>
      </c>
      <c r="G159" s="3" t="s">
        <v>61</v>
      </c>
      <c r="H159" s="3" t="n">
        <v>0.992</v>
      </c>
      <c r="I159" s="13" t="n">
        <f aca="false">IF(G159=E159,1,0)</f>
        <v>1</v>
      </c>
      <c r="K159" s="13" t="n">
        <f aca="false">IF(G159=E159,1,0)</f>
        <v>1</v>
      </c>
      <c r="L159" s="13" t="n">
        <f aca="false">IF(F159=C159,1,0)</f>
        <v>1</v>
      </c>
    </row>
    <row r="160" customFormat="false" ht="13.8" hidden="false" customHeight="false" outlineLevel="0" collapsed="false">
      <c r="A160" s="3" t="n">
        <v>159</v>
      </c>
      <c r="B160" s="3" t="s">
        <v>363</v>
      </c>
      <c r="C160" s="3" t="s">
        <v>143</v>
      </c>
      <c r="D160" s="3" t="s">
        <v>256</v>
      </c>
      <c r="E160" s="3" t="s">
        <v>256</v>
      </c>
      <c r="F160" s="3" t="s">
        <v>143</v>
      </c>
      <c r="G160" s="3" t="s">
        <v>67</v>
      </c>
      <c r="H160" s="3" t="n">
        <v>0.992</v>
      </c>
      <c r="I160" s="13" t="n">
        <f aca="false">IF(G160=E160,1,0)</f>
        <v>0</v>
      </c>
      <c r="J160" s="3" t="s">
        <v>257</v>
      </c>
    </row>
    <row r="161" customFormat="false" ht="13.8" hidden="false" customHeight="false" outlineLevel="0" collapsed="false">
      <c r="A161" s="3" t="n">
        <v>160</v>
      </c>
      <c r="B161" s="3" t="s">
        <v>364</v>
      </c>
      <c r="C161" s="3" t="s">
        <v>105</v>
      </c>
      <c r="D161" s="3" t="s">
        <v>61</v>
      </c>
      <c r="E161" s="3" t="s">
        <v>61</v>
      </c>
      <c r="F161" s="3" t="s">
        <v>105</v>
      </c>
      <c r="G161" s="3" t="s">
        <v>61</v>
      </c>
      <c r="H161" s="3" t="n">
        <v>0.992</v>
      </c>
      <c r="I161" s="13" t="n">
        <f aca="false">IF(G161=E161,1,0)</f>
        <v>1</v>
      </c>
      <c r="K161" s="13" t="n">
        <f aca="false">IF(G161=E161,1,0)</f>
        <v>1</v>
      </c>
      <c r="L161" s="13" t="n">
        <f aca="false">IF(F161=C161,1,0)</f>
        <v>1</v>
      </c>
    </row>
    <row r="162" customFormat="false" ht="13.8" hidden="false" customHeight="false" outlineLevel="0" collapsed="false">
      <c r="A162" s="3" t="n">
        <v>161</v>
      </c>
      <c r="B162" s="3" t="s">
        <v>365</v>
      </c>
      <c r="C162" s="3" t="s">
        <v>143</v>
      </c>
      <c r="D162" s="3" t="s">
        <v>198</v>
      </c>
      <c r="E162" s="3" t="s">
        <v>67</v>
      </c>
      <c r="F162" s="3" t="s">
        <v>143</v>
      </c>
      <c r="G162" s="3" t="s">
        <v>67</v>
      </c>
      <c r="H162" s="3" t="n">
        <v>0.992</v>
      </c>
      <c r="I162" s="13" t="n">
        <f aca="false">IF(G162=E162,1,0)</f>
        <v>1</v>
      </c>
      <c r="K162" s="13" t="n">
        <f aca="false">IF(G162=E162,1,0)</f>
        <v>1</v>
      </c>
      <c r="L162" s="13" t="n">
        <f aca="false">IF(F162=C162,1,0)</f>
        <v>1</v>
      </c>
    </row>
    <row r="163" customFormat="false" ht="13.8" hidden="false" customHeight="false" outlineLevel="0" collapsed="false">
      <c r="A163" s="3" t="n">
        <v>162</v>
      </c>
      <c r="B163" s="3" t="s">
        <v>366</v>
      </c>
      <c r="C163" s="3" t="s">
        <v>105</v>
      </c>
      <c r="D163" s="3" t="s">
        <v>61</v>
      </c>
      <c r="E163" s="3" t="s">
        <v>61</v>
      </c>
      <c r="F163" s="3" t="s">
        <v>143</v>
      </c>
      <c r="G163" s="3" t="s">
        <v>67</v>
      </c>
      <c r="H163" s="3" t="n">
        <v>0.992</v>
      </c>
      <c r="I163" s="13" t="n">
        <f aca="false">IF(G163=E163,1,0)</f>
        <v>0</v>
      </c>
      <c r="K163" s="13" t="n">
        <f aca="false">IF(G163=E163,1,0)</f>
        <v>0</v>
      </c>
      <c r="L163" s="13" t="n">
        <f aca="false">IF(F163=C163,1,0)</f>
        <v>0</v>
      </c>
    </row>
    <row r="164" customFormat="false" ht="13.8" hidden="false" customHeight="false" outlineLevel="0" collapsed="false">
      <c r="A164" s="3" t="n">
        <v>163</v>
      </c>
      <c r="B164" s="3" t="s">
        <v>367</v>
      </c>
      <c r="C164" s="3" t="s">
        <v>105</v>
      </c>
      <c r="D164" s="3" t="s">
        <v>61</v>
      </c>
      <c r="E164" s="3" t="s">
        <v>61</v>
      </c>
      <c r="F164" s="3" t="s">
        <v>105</v>
      </c>
      <c r="G164" s="3" t="s">
        <v>61</v>
      </c>
      <c r="H164" s="3" t="n">
        <v>0.991</v>
      </c>
      <c r="I164" s="13" t="n">
        <f aca="false">IF(G164=E164,1,0)</f>
        <v>1</v>
      </c>
      <c r="K164" s="13" t="n">
        <f aca="false">IF(G164=E164,1,0)</f>
        <v>1</v>
      </c>
      <c r="L164" s="13" t="n">
        <f aca="false">IF(F164=C164,1,0)</f>
        <v>1</v>
      </c>
    </row>
    <row r="165" customFormat="false" ht="13.8" hidden="false" customHeight="false" outlineLevel="0" collapsed="false">
      <c r="A165" s="3" t="n">
        <v>164</v>
      </c>
      <c r="B165" s="3" t="s">
        <v>368</v>
      </c>
      <c r="C165" s="3" t="s">
        <v>105</v>
      </c>
      <c r="D165" s="3" t="s">
        <v>61</v>
      </c>
      <c r="E165" s="3" t="s">
        <v>61</v>
      </c>
      <c r="F165" s="3" t="s">
        <v>105</v>
      </c>
      <c r="G165" s="3" t="s">
        <v>61</v>
      </c>
      <c r="H165" s="3" t="n">
        <v>0.991</v>
      </c>
      <c r="I165" s="13" t="n">
        <f aca="false">IF(G165=E165,1,0)</f>
        <v>1</v>
      </c>
      <c r="K165" s="13" t="n">
        <f aca="false">IF(G165=E165,1,0)</f>
        <v>1</v>
      </c>
      <c r="L165" s="13" t="n">
        <f aca="false">IF(F165=C165,1,0)</f>
        <v>1</v>
      </c>
    </row>
    <row r="166" customFormat="false" ht="13.8" hidden="false" customHeight="false" outlineLevel="0" collapsed="false">
      <c r="A166" s="3" t="n">
        <v>165</v>
      </c>
      <c r="B166" s="3" t="s">
        <v>369</v>
      </c>
      <c r="C166" s="3" t="s">
        <v>105</v>
      </c>
      <c r="D166" s="3" t="s">
        <v>61</v>
      </c>
      <c r="E166" s="3" t="s">
        <v>61</v>
      </c>
      <c r="F166" s="3" t="s">
        <v>105</v>
      </c>
      <c r="G166" s="3" t="s">
        <v>61</v>
      </c>
      <c r="H166" s="3" t="n">
        <v>0.991</v>
      </c>
      <c r="I166" s="13" t="n">
        <f aca="false">IF(G166=E166,1,0)</f>
        <v>1</v>
      </c>
      <c r="K166" s="13" t="n">
        <f aca="false">IF(G166=E166,1,0)</f>
        <v>1</v>
      </c>
      <c r="L166" s="13" t="n">
        <f aca="false">IF(F166=C166,1,0)</f>
        <v>1</v>
      </c>
    </row>
    <row r="167" customFormat="false" ht="13.8" hidden="false" customHeight="false" outlineLevel="0" collapsed="false">
      <c r="A167" s="3" t="n">
        <v>166</v>
      </c>
      <c r="B167" s="3" t="s">
        <v>370</v>
      </c>
      <c r="C167" s="3" t="s">
        <v>143</v>
      </c>
      <c r="D167" s="3" t="s">
        <v>288</v>
      </c>
      <c r="E167" s="3" t="s">
        <v>288</v>
      </c>
      <c r="F167" s="3" t="s">
        <v>143</v>
      </c>
      <c r="G167" s="3" t="s">
        <v>67</v>
      </c>
      <c r="H167" s="3" t="n">
        <v>0.99</v>
      </c>
      <c r="I167" s="13" t="n">
        <f aca="false">IF(G167=E167,1,0)</f>
        <v>0</v>
      </c>
      <c r="J167" s="3" t="s">
        <v>257</v>
      </c>
    </row>
    <row r="168" customFormat="false" ht="13.8" hidden="false" customHeight="false" outlineLevel="0" collapsed="false">
      <c r="A168" s="3" t="n">
        <v>167</v>
      </c>
      <c r="B168" s="3" t="s">
        <v>371</v>
      </c>
      <c r="C168" s="3" t="s">
        <v>105</v>
      </c>
      <c r="D168" s="3" t="s">
        <v>61</v>
      </c>
      <c r="E168" s="3" t="s">
        <v>61</v>
      </c>
      <c r="F168" s="3" t="s">
        <v>105</v>
      </c>
      <c r="G168" s="3" t="s">
        <v>61</v>
      </c>
      <c r="H168" s="3" t="n">
        <v>0.99</v>
      </c>
      <c r="I168" s="13" t="n">
        <f aca="false">IF(G168=E168,1,0)</f>
        <v>1</v>
      </c>
      <c r="K168" s="13" t="n">
        <f aca="false">IF(G168=E168,1,0)</f>
        <v>1</v>
      </c>
      <c r="L168" s="13" t="n">
        <f aca="false">IF(F168=C168,1,0)</f>
        <v>1</v>
      </c>
    </row>
    <row r="169" customFormat="false" ht="13.8" hidden="false" customHeight="false" outlineLevel="0" collapsed="false">
      <c r="A169" s="3" t="n">
        <v>168</v>
      </c>
      <c r="B169" s="3" t="s">
        <v>372</v>
      </c>
      <c r="C169" s="3" t="s">
        <v>105</v>
      </c>
      <c r="D169" s="3" t="s">
        <v>61</v>
      </c>
      <c r="E169" s="3" t="s">
        <v>61</v>
      </c>
      <c r="F169" s="3" t="s">
        <v>105</v>
      </c>
      <c r="G169" s="3" t="s">
        <v>61</v>
      </c>
      <c r="H169" s="3" t="n">
        <v>0.989</v>
      </c>
      <c r="I169" s="13" t="n">
        <f aca="false">IF(G169=E169,1,0)</f>
        <v>1</v>
      </c>
      <c r="K169" s="13" t="n">
        <f aca="false">IF(G169=E169,1,0)</f>
        <v>1</v>
      </c>
      <c r="L169" s="13" t="n">
        <f aca="false">IF(F169=C169,1,0)</f>
        <v>1</v>
      </c>
    </row>
    <row r="170" customFormat="false" ht="13.8" hidden="false" customHeight="false" outlineLevel="0" collapsed="false">
      <c r="A170" s="3" t="n">
        <v>169</v>
      </c>
      <c r="B170" s="3" t="s">
        <v>373</v>
      </c>
      <c r="C170" s="3" t="s">
        <v>143</v>
      </c>
      <c r="D170" s="3" t="s">
        <v>198</v>
      </c>
      <c r="E170" s="3" t="s">
        <v>67</v>
      </c>
      <c r="F170" s="3" t="s">
        <v>143</v>
      </c>
      <c r="G170" s="3" t="s">
        <v>67</v>
      </c>
      <c r="H170" s="3" t="n">
        <v>0.989</v>
      </c>
      <c r="I170" s="13" t="n">
        <f aca="false">IF(G170=E170,1,0)</f>
        <v>1</v>
      </c>
      <c r="K170" s="13" t="n">
        <f aca="false">IF(G170=E170,1,0)</f>
        <v>1</v>
      </c>
      <c r="L170" s="13" t="n">
        <f aca="false">IF(F170=C170,1,0)</f>
        <v>1</v>
      </c>
    </row>
    <row r="171" customFormat="false" ht="13.8" hidden="false" customHeight="false" outlineLevel="0" collapsed="false">
      <c r="A171" s="3" t="n">
        <v>170</v>
      </c>
      <c r="B171" s="3" t="s">
        <v>374</v>
      </c>
      <c r="C171" s="3" t="s">
        <v>105</v>
      </c>
      <c r="D171" s="3" t="s">
        <v>61</v>
      </c>
      <c r="E171" s="3" t="s">
        <v>61</v>
      </c>
      <c r="F171" s="3" t="s">
        <v>105</v>
      </c>
      <c r="G171" s="3" t="s">
        <v>61</v>
      </c>
      <c r="H171" s="3" t="n">
        <v>0.988</v>
      </c>
      <c r="I171" s="13" t="n">
        <f aca="false">IF(G171=E171,1,0)</f>
        <v>1</v>
      </c>
      <c r="K171" s="13" t="n">
        <f aca="false">IF(G171=E171,1,0)</f>
        <v>1</v>
      </c>
      <c r="L171" s="13" t="n">
        <f aca="false">IF(F171=C171,1,0)</f>
        <v>1</v>
      </c>
    </row>
    <row r="172" customFormat="false" ht="13.8" hidden="false" customHeight="false" outlineLevel="0" collapsed="false">
      <c r="A172" s="3" t="n">
        <v>171</v>
      </c>
      <c r="B172" s="3" t="s">
        <v>375</v>
      </c>
      <c r="C172" s="3" t="s">
        <v>105</v>
      </c>
      <c r="D172" s="3" t="s">
        <v>61</v>
      </c>
      <c r="E172" s="3" t="s">
        <v>61</v>
      </c>
      <c r="F172" s="3" t="s">
        <v>105</v>
      </c>
      <c r="G172" s="3" t="s">
        <v>61</v>
      </c>
      <c r="H172" s="3" t="n">
        <v>0.988</v>
      </c>
      <c r="I172" s="13" t="n">
        <f aca="false">IF(G172=E172,1,0)</f>
        <v>1</v>
      </c>
      <c r="K172" s="13" t="n">
        <f aca="false">IF(G172=E172,1,0)</f>
        <v>1</v>
      </c>
      <c r="L172" s="13" t="n">
        <f aca="false">IF(F172=C172,1,0)</f>
        <v>1</v>
      </c>
    </row>
    <row r="173" customFormat="false" ht="13.8" hidden="false" customHeight="false" outlineLevel="0" collapsed="false">
      <c r="A173" s="3" t="n">
        <v>172</v>
      </c>
      <c r="B173" s="3" t="s">
        <v>376</v>
      </c>
      <c r="C173" s="3" t="s">
        <v>143</v>
      </c>
      <c r="D173" s="3" t="s">
        <v>256</v>
      </c>
      <c r="E173" s="3" t="s">
        <v>256</v>
      </c>
      <c r="F173" s="3" t="s">
        <v>143</v>
      </c>
      <c r="G173" s="3" t="s">
        <v>67</v>
      </c>
      <c r="H173" s="3" t="n">
        <v>0.988</v>
      </c>
      <c r="I173" s="13" t="n">
        <f aca="false">IF(G173=E173,1,0)</f>
        <v>0</v>
      </c>
      <c r="J173" s="3" t="s">
        <v>257</v>
      </c>
    </row>
    <row r="174" customFormat="false" ht="13.8" hidden="false" customHeight="false" outlineLevel="0" collapsed="false">
      <c r="A174" s="3" t="n">
        <v>173</v>
      </c>
      <c r="B174" s="3" t="s">
        <v>377</v>
      </c>
      <c r="C174" s="3" t="s">
        <v>143</v>
      </c>
      <c r="D174" s="3" t="s">
        <v>198</v>
      </c>
      <c r="E174" s="3" t="s">
        <v>67</v>
      </c>
      <c r="F174" s="3" t="s">
        <v>143</v>
      </c>
      <c r="G174" s="3" t="s">
        <v>67</v>
      </c>
      <c r="H174" s="3" t="n">
        <v>0.987</v>
      </c>
      <c r="I174" s="13" t="n">
        <f aca="false">IF(G174=E174,1,0)</f>
        <v>1</v>
      </c>
      <c r="K174" s="13" t="n">
        <f aca="false">IF(G174=E174,1,0)</f>
        <v>1</v>
      </c>
      <c r="L174" s="13" t="n">
        <f aca="false">IF(F174=C174,1,0)</f>
        <v>1</v>
      </c>
    </row>
    <row r="175" customFormat="false" ht="13.8" hidden="false" customHeight="false" outlineLevel="0" collapsed="false">
      <c r="A175" s="3" t="n">
        <v>174</v>
      </c>
      <c r="B175" s="3" t="s">
        <v>378</v>
      </c>
      <c r="C175" s="3" t="s">
        <v>105</v>
      </c>
      <c r="D175" s="3" t="s">
        <v>61</v>
      </c>
      <c r="E175" s="3" t="s">
        <v>61</v>
      </c>
      <c r="F175" s="3" t="s">
        <v>105</v>
      </c>
      <c r="G175" s="3" t="s">
        <v>61</v>
      </c>
      <c r="H175" s="3" t="n">
        <v>0.987</v>
      </c>
      <c r="I175" s="13" t="n">
        <f aca="false">IF(G175=E175,1,0)</f>
        <v>1</v>
      </c>
      <c r="K175" s="13" t="n">
        <f aca="false">IF(G175=E175,1,0)</f>
        <v>1</v>
      </c>
      <c r="L175" s="13" t="n">
        <f aca="false">IF(F175=C175,1,0)</f>
        <v>1</v>
      </c>
    </row>
    <row r="176" customFormat="false" ht="13.8" hidden="false" customHeight="false" outlineLevel="0" collapsed="false">
      <c r="A176" s="3" t="n">
        <v>175</v>
      </c>
      <c r="B176" s="3" t="s">
        <v>379</v>
      </c>
      <c r="C176" s="3" t="s">
        <v>150</v>
      </c>
      <c r="D176" s="3" t="s">
        <v>254</v>
      </c>
      <c r="E176" s="3" t="s">
        <v>85</v>
      </c>
      <c r="F176" s="3" t="s">
        <v>150</v>
      </c>
      <c r="G176" s="3" t="s">
        <v>85</v>
      </c>
      <c r="H176" s="3" t="n">
        <v>0.987</v>
      </c>
      <c r="I176" s="13" t="n">
        <f aca="false">IF(G176=E176,1,0)</f>
        <v>1</v>
      </c>
      <c r="K176" s="13" t="n">
        <f aca="false">IF(G176=E176,1,0)</f>
        <v>1</v>
      </c>
      <c r="L176" s="13" t="n">
        <f aca="false">IF(F176=C176,1,0)</f>
        <v>1</v>
      </c>
    </row>
    <row r="177" customFormat="false" ht="13.8" hidden="false" customHeight="false" outlineLevel="0" collapsed="false">
      <c r="A177" s="3" t="n">
        <v>176</v>
      </c>
      <c r="B177" s="3" t="s">
        <v>380</v>
      </c>
      <c r="C177" s="3" t="s">
        <v>105</v>
      </c>
      <c r="D177" s="3" t="s">
        <v>61</v>
      </c>
      <c r="E177" s="3" t="s">
        <v>61</v>
      </c>
      <c r="F177" s="3" t="s">
        <v>105</v>
      </c>
      <c r="G177" s="3" t="s">
        <v>61</v>
      </c>
      <c r="H177" s="3" t="n">
        <v>0.986</v>
      </c>
      <c r="I177" s="13" t="n">
        <f aca="false">IF(G177=E177,1,0)</f>
        <v>1</v>
      </c>
      <c r="K177" s="13" t="n">
        <f aca="false">IF(G177=E177,1,0)</f>
        <v>1</v>
      </c>
      <c r="L177" s="13" t="n">
        <f aca="false">IF(F177=C177,1,0)</f>
        <v>1</v>
      </c>
    </row>
    <row r="178" customFormat="false" ht="13.8" hidden="false" customHeight="false" outlineLevel="0" collapsed="false">
      <c r="A178" s="3" t="n">
        <v>177</v>
      </c>
      <c r="B178" s="3" t="s">
        <v>381</v>
      </c>
      <c r="C178" s="3" t="s">
        <v>105</v>
      </c>
      <c r="D178" s="3" t="s">
        <v>61</v>
      </c>
      <c r="E178" s="3" t="s">
        <v>61</v>
      </c>
      <c r="F178" s="3" t="s">
        <v>105</v>
      </c>
      <c r="G178" s="3" t="s">
        <v>61</v>
      </c>
      <c r="H178" s="3" t="n">
        <v>0.986</v>
      </c>
      <c r="I178" s="13" t="n">
        <f aca="false">IF(G178=E178,1,0)</f>
        <v>1</v>
      </c>
      <c r="K178" s="13" t="n">
        <f aca="false">IF(G178=E178,1,0)</f>
        <v>1</v>
      </c>
      <c r="L178" s="13" t="n">
        <f aca="false">IF(F178=C178,1,0)</f>
        <v>1</v>
      </c>
    </row>
    <row r="179" customFormat="false" ht="13.8" hidden="false" customHeight="false" outlineLevel="0" collapsed="false">
      <c r="A179" s="3" t="n">
        <v>178</v>
      </c>
      <c r="B179" s="3" t="s">
        <v>382</v>
      </c>
      <c r="C179" s="3" t="s">
        <v>105</v>
      </c>
      <c r="D179" s="3" t="s">
        <v>61</v>
      </c>
      <c r="E179" s="3" t="s">
        <v>61</v>
      </c>
      <c r="F179" s="3" t="s">
        <v>105</v>
      </c>
      <c r="G179" s="3" t="s">
        <v>61</v>
      </c>
      <c r="H179" s="3" t="n">
        <v>0.986</v>
      </c>
      <c r="I179" s="13" t="n">
        <f aca="false">IF(G179=E179,1,0)</f>
        <v>1</v>
      </c>
      <c r="K179" s="13" t="n">
        <f aca="false">IF(G179=E179,1,0)</f>
        <v>1</v>
      </c>
      <c r="L179" s="13" t="n">
        <f aca="false">IF(F179=C179,1,0)</f>
        <v>1</v>
      </c>
    </row>
    <row r="180" customFormat="false" ht="13.8" hidden="false" customHeight="false" outlineLevel="0" collapsed="false">
      <c r="A180" s="3" t="n">
        <v>179</v>
      </c>
      <c r="B180" s="3" t="s">
        <v>383</v>
      </c>
      <c r="C180" s="3" t="s">
        <v>143</v>
      </c>
      <c r="D180" s="3" t="s">
        <v>351</v>
      </c>
      <c r="E180" s="3" t="s">
        <v>351</v>
      </c>
      <c r="F180" s="3" t="s">
        <v>143</v>
      </c>
      <c r="G180" s="3" t="s">
        <v>79</v>
      </c>
      <c r="H180" s="3" t="n">
        <v>0.986</v>
      </c>
      <c r="I180" s="13" t="n">
        <f aca="false">IF(G180=E180,1,0)</f>
        <v>0</v>
      </c>
      <c r="J180" s="3" t="s">
        <v>257</v>
      </c>
    </row>
    <row r="181" customFormat="false" ht="13.8" hidden="false" customHeight="false" outlineLevel="0" collapsed="false">
      <c r="A181" s="3" t="n">
        <v>180</v>
      </c>
      <c r="B181" s="3" t="s">
        <v>384</v>
      </c>
      <c r="C181" s="3" t="s">
        <v>150</v>
      </c>
      <c r="D181" s="3" t="s">
        <v>245</v>
      </c>
      <c r="E181" s="3" t="s">
        <v>83</v>
      </c>
      <c r="F181" s="3" t="s">
        <v>150</v>
      </c>
      <c r="G181" s="3" t="s">
        <v>83</v>
      </c>
      <c r="H181" s="3" t="n">
        <v>0.986</v>
      </c>
      <c r="I181" s="13" t="n">
        <f aca="false">IF(G181=E181,1,0)</f>
        <v>1</v>
      </c>
      <c r="K181" s="13" t="n">
        <f aca="false">IF(G181=E181,1,0)</f>
        <v>1</v>
      </c>
      <c r="L181" s="13" t="n">
        <f aca="false">IF(F181=C181,1,0)</f>
        <v>1</v>
      </c>
    </row>
    <row r="182" customFormat="false" ht="13.8" hidden="false" customHeight="false" outlineLevel="0" collapsed="false">
      <c r="A182" s="3" t="n">
        <v>181</v>
      </c>
      <c r="B182" s="3" t="s">
        <v>385</v>
      </c>
      <c r="C182" s="3" t="s">
        <v>143</v>
      </c>
      <c r="D182" s="3" t="s">
        <v>198</v>
      </c>
      <c r="E182" s="3" t="s">
        <v>67</v>
      </c>
      <c r="F182" s="3" t="s">
        <v>143</v>
      </c>
      <c r="G182" s="3" t="s">
        <v>67</v>
      </c>
      <c r="H182" s="3" t="n">
        <v>0.986</v>
      </c>
      <c r="I182" s="13" t="n">
        <f aca="false">IF(G182=E182,1,0)</f>
        <v>1</v>
      </c>
      <c r="K182" s="13" t="n">
        <f aca="false">IF(G182=E182,1,0)</f>
        <v>1</v>
      </c>
      <c r="L182" s="13" t="n">
        <f aca="false">IF(F182=C182,1,0)</f>
        <v>1</v>
      </c>
    </row>
    <row r="183" customFormat="false" ht="13.8" hidden="false" customHeight="false" outlineLevel="0" collapsed="false">
      <c r="A183" s="3" t="n">
        <v>182</v>
      </c>
      <c r="B183" s="3" t="s">
        <v>386</v>
      </c>
      <c r="C183" s="3" t="s">
        <v>133</v>
      </c>
      <c r="D183" s="3" t="s">
        <v>65</v>
      </c>
      <c r="E183" s="3" t="s">
        <v>65</v>
      </c>
      <c r="F183" s="3" t="s">
        <v>133</v>
      </c>
      <c r="G183" s="3" t="s">
        <v>65</v>
      </c>
      <c r="H183" s="3" t="n">
        <v>0.985</v>
      </c>
      <c r="I183" s="13" t="n">
        <f aca="false">IF(G183=E183,1,0)</f>
        <v>1</v>
      </c>
      <c r="K183" s="13" t="n">
        <f aca="false">IF(G183=E183,1,0)</f>
        <v>1</v>
      </c>
      <c r="L183" s="13" t="n">
        <f aca="false">IF(F183=C183,1,0)</f>
        <v>1</v>
      </c>
    </row>
    <row r="184" customFormat="false" ht="13.8" hidden="false" customHeight="false" outlineLevel="0" collapsed="false">
      <c r="A184" s="3" t="n">
        <v>183</v>
      </c>
      <c r="B184" s="3" t="s">
        <v>387</v>
      </c>
      <c r="C184" s="3" t="s">
        <v>105</v>
      </c>
      <c r="D184" s="3" t="s">
        <v>61</v>
      </c>
      <c r="E184" s="3" t="s">
        <v>61</v>
      </c>
      <c r="F184" s="3" t="s">
        <v>105</v>
      </c>
      <c r="G184" s="3" t="s">
        <v>61</v>
      </c>
      <c r="H184" s="3" t="n">
        <v>0.985</v>
      </c>
      <c r="I184" s="13" t="n">
        <f aca="false">IF(G184=E184,1,0)</f>
        <v>1</v>
      </c>
      <c r="K184" s="13" t="n">
        <f aca="false">IF(G184=E184,1,0)</f>
        <v>1</v>
      </c>
      <c r="L184" s="13" t="n">
        <f aca="false">IF(F184=C184,1,0)</f>
        <v>1</v>
      </c>
    </row>
    <row r="185" customFormat="false" ht="13.8" hidden="false" customHeight="false" outlineLevel="0" collapsed="false">
      <c r="A185" s="3" t="n">
        <v>184</v>
      </c>
      <c r="B185" s="3" t="s">
        <v>388</v>
      </c>
      <c r="C185" s="3" t="s">
        <v>105</v>
      </c>
      <c r="D185" s="3" t="s">
        <v>61</v>
      </c>
      <c r="E185" s="3" t="s">
        <v>61</v>
      </c>
      <c r="F185" s="3" t="s">
        <v>105</v>
      </c>
      <c r="G185" s="3" t="s">
        <v>61</v>
      </c>
      <c r="H185" s="3" t="n">
        <v>0.985</v>
      </c>
      <c r="I185" s="13" t="n">
        <f aca="false">IF(G185=E185,1,0)</f>
        <v>1</v>
      </c>
      <c r="K185" s="13" t="n">
        <f aca="false">IF(G185=E185,1,0)</f>
        <v>1</v>
      </c>
      <c r="L185" s="13" t="n">
        <f aca="false">IF(F185=C185,1,0)</f>
        <v>1</v>
      </c>
    </row>
    <row r="186" customFormat="false" ht="13.8" hidden="false" customHeight="false" outlineLevel="0" collapsed="false">
      <c r="A186" s="3" t="n">
        <v>185</v>
      </c>
      <c r="B186" s="3" t="s">
        <v>389</v>
      </c>
      <c r="C186" s="3" t="s">
        <v>105</v>
      </c>
      <c r="D186" s="3" t="s">
        <v>61</v>
      </c>
      <c r="E186" s="3" t="s">
        <v>61</v>
      </c>
      <c r="F186" s="3" t="s">
        <v>105</v>
      </c>
      <c r="G186" s="3" t="s">
        <v>61</v>
      </c>
      <c r="H186" s="3" t="n">
        <v>0.985</v>
      </c>
      <c r="I186" s="13" t="n">
        <f aca="false">IF(G186=E186,1,0)</f>
        <v>1</v>
      </c>
      <c r="K186" s="13" t="n">
        <f aca="false">IF(G186=E186,1,0)</f>
        <v>1</v>
      </c>
      <c r="L186" s="13" t="n">
        <f aca="false">IF(F186=C186,1,0)</f>
        <v>1</v>
      </c>
    </row>
    <row r="187" customFormat="false" ht="13.8" hidden="false" customHeight="false" outlineLevel="0" collapsed="false">
      <c r="A187" s="3" t="n">
        <v>186</v>
      </c>
      <c r="B187" s="3" t="s">
        <v>390</v>
      </c>
      <c r="C187" s="3" t="s">
        <v>105</v>
      </c>
      <c r="D187" s="3" t="s">
        <v>61</v>
      </c>
      <c r="E187" s="3" t="s">
        <v>61</v>
      </c>
      <c r="F187" s="3" t="s">
        <v>105</v>
      </c>
      <c r="G187" s="3" t="s">
        <v>61</v>
      </c>
      <c r="H187" s="3" t="n">
        <v>0.985</v>
      </c>
      <c r="I187" s="13" t="n">
        <f aca="false">IF(G187=E187,1,0)</f>
        <v>1</v>
      </c>
      <c r="K187" s="13" t="n">
        <f aca="false">IF(G187=E187,1,0)</f>
        <v>1</v>
      </c>
      <c r="L187" s="13" t="n">
        <f aca="false">IF(F187=C187,1,0)</f>
        <v>1</v>
      </c>
    </row>
    <row r="188" customFormat="false" ht="13.8" hidden="false" customHeight="false" outlineLevel="0" collapsed="false">
      <c r="A188" s="3" t="n">
        <v>187</v>
      </c>
      <c r="B188" s="3" t="s">
        <v>391</v>
      </c>
      <c r="C188" s="3" t="s">
        <v>150</v>
      </c>
      <c r="D188" s="3" t="s">
        <v>245</v>
      </c>
      <c r="E188" s="3" t="s">
        <v>83</v>
      </c>
      <c r="F188" s="3" t="s">
        <v>150</v>
      </c>
      <c r="G188" s="3" t="s">
        <v>83</v>
      </c>
      <c r="H188" s="3" t="n">
        <v>0.985</v>
      </c>
      <c r="I188" s="13" t="n">
        <f aca="false">IF(G188=E188,1,0)</f>
        <v>1</v>
      </c>
      <c r="K188" s="13" t="n">
        <f aca="false">IF(G188=E188,1,0)</f>
        <v>1</v>
      </c>
      <c r="L188" s="13" t="n">
        <f aca="false">IF(F188=C188,1,0)</f>
        <v>1</v>
      </c>
    </row>
    <row r="189" customFormat="false" ht="13.8" hidden="false" customHeight="false" outlineLevel="0" collapsed="false">
      <c r="A189" s="3" t="n">
        <v>188</v>
      </c>
      <c r="B189" s="3" t="s">
        <v>392</v>
      </c>
      <c r="C189" s="3" t="s">
        <v>105</v>
      </c>
      <c r="D189" s="3" t="s">
        <v>77</v>
      </c>
      <c r="E189" s="3" t="s">
        <v>77</v>
      </c>
      <c r="F189" s="3" t="s">
        <v>105</v>
      </c>
      <c r="G189" s="3" t="s">
        <v>77</v>
      </c>
      <c r="H189" s="3" t="n">
        <v>0.985</v>
      </c>
      <c r="I189" s="13" t="n">
        <f aca="false">IF(G189=E189,1,0)</f>
        <v>1</v>
      </c>
      <c r="K189" s="13" t="n">
        <f aca="false">IF(G189=E189,1,0)</f>
        <v>1</v>
      </c>
      <c r="L189" s="13" t="n">
        <f aca="false">IF(F189=C189,1,0)</f>
        <v>1</v>
      </c>
    </row>
    <row r="190" customFormat="false" ht="13.8" hidden="false" customHeight="false" outlineLevel="0" collapsed="false">
      <c r="A190" s="3" t="n">
        <v>189</v>
      </c>
      <c r="B190" s="3" t="s">
        <v>393</v>
      </c>
      <c r="C190" s="3" t="s">
        <v>143</v>
      </c>
      <c r="D190" s="3" t="s">
        <v>198</v>
      </c>
      <c r="E190" s="3" t="s">
        <v>67</v>
      </c>
      <c r="F190" s="3" t="s">
        <v>143</v>
      </c>
      <c r="G190" s="3" t="s">
        <v>67</v>
      </c>
      <c r="H190" s="3" t="n">
        <v>0.985</v>
      </c>
      <c r="I190" s="13" t="n">
        <f aca="false">IF(G190=E190,1,0)</f>
        <v>1</v>
      </c>
      <c r="K190" s="13" t="n">
        <f aca="false">IF(G190=E190,1,0)</f>
        <v>1</v>
      </c>
      <c r="L190" s="13" t="n">
        <f aca="false">IF(F190=C190,1,0)</f>
        <v>1</v>
      </c>
    </row>
    <row r="191" customFormat="false" ht="13.8" hidden="false" customHeight="false" outlineLevel="0" collapsed="false">
      <c r="A191" s="3" t="n">
        <v>190</v>
      </c>
      <c r="B191" s="3" t="s">
        <v>394</v>
      </c>
      <c r="C191" s="3" t="s">
        <v>105</v>
      </c>
      <c r="D191" s="3" t="s">
        <v>77</v>
      </c>
      <c r="E191" s="3" t="s">
        <v>77</v>
      </c>
      <c r="F191" s="3" t="s">
        <v>105</v>
      </c>
      <c r="G191" s="3" t="s">
        <v>77</v>
      </c>
      <c r="H191" s="3" t="n">
        <v>0.984</v>
      </c>
      <c r="I191" s="13" t="n">
        <f aca="false">IF(G191=E191,1,0)</f>
        <v>1</v>
      </c>
      <c r="K191" s="13" t="n">
        <f aca="false">IF(G191=E191,1,0)</f>
        <v>1</v>
      </c>
      <c r="L191" s="13" t="n">
        <f aca="false">IF(F191=C191,1,0)</f>
        <v>1</v>
      </c>
    </row>
    <row r="192" customFormat="false" ht="13.8" hidden="false" customHeight="false" outlineLevel="0" collapsed="false">
      <c r="A192" s="3" t="n">
        <v>191</v>
      </c>
      <c r="B192" s="3" t="s">
        <v>395</v>
      </c>
      <c r="C192" s="3" t="s">
        <v>105</v>
      </c>
      <c r="D192" s="3" t="s">
        <v>77</v>
      </c>
      <c r="E192" s="3" t="s">
        <v>77</v>
      </c>
      <c r="F192" s="3" t="s">
        <v>105</v>
      </c>
      <c r="G192" s="3" t="s">
        <v>77</v>
      </c>
      <c r="H192" s="3" t="n">
        <v>0.984</v>
      </c>
      <c r="I192" s="13" t="n">
        <f aca="false">IF(G192=E192,1,0)</f>
        <v>1</v>
      </c>
      <c r="K192" s="13" t="n">
        <f aca="false">IF(G192=E192,1,0)</f>
        <v>1</v>
      </c>
      <c r="L192" s="13" t="n">
        <f aca="false">IF(F192=C192,1,0)</f>
        <v>1</v>
      </c>
    </row>
    <row r="193" customFormat="false" ht="13.8" hidden="false" customHeight="false" outlineLevel="0" collapsed="false">
      <c r="A193" s="3" t="n">
        <v>192</v>
      </c>
      <c r="B193" s="3" t="s">
        <v>396</v>
      </c>
      <c r="C193" s="3" t="s">
        <v>150</v>
      </c>
      <c r="D193" s="3" t="s">
        <v>75</v>
      </c>
      <c r="E193" s="3" t="s">
        <v>75</v>
      </c>
      <c r="F193" s="3" t="s">
        <v>150</v>
      </c>
      <c r="G193" s="3" t="s">
        <v>75</v>
      </c>
      <c r="H193" s="3" t="n">
        <v>0.984</v>
      </c>
      <c r="I193" s="13" t="n">
        <f aca="false">IF(G193=E193,1,0)</f>
        <v>1</v>
      </c>
      <c r="K193" s="13" t="n">
        <f aca="false">IF(G193=E193,1,0)</f>
        <v>1</v>
      </c>
      <c r="L193" s="13" t="n">
        <f aca="false">IF(F193=C193,1,0)</f>
        <v>1</v>
      </c>
    </row>
    <row r="194" customFormat="false" ht="13.8" hidden="false" customHeight="false" outlineLevel="0" collapsed="false">
      <c r="A194" s="3" t="n">
        <v>193</v>
      </c>
      <c r="B194" s="3" t="s">
        <v>397</v>
      </c>
      <c r="C194" s="3" t="s">
        <v>143</v>
      </c>
      <c r="D194" s="3" t="s">
        <v>198</v>
      </c>
      <c r="E194" s="3" t="s">
        <v>67</v>
      </c>
      <c r="F194" s="3" t="s">
        <v>143</v>
      </c>
      <c r="G194" s="3" t="s">
        <v>79</v>
      </c>
      <c r="H194" s="3" t="n">
        <v>0.984</v>
      </c>
      <c r="I194" s="13" t="n">
        <f aca="false">IF(G194=E194,1,0)</f>
        <v>0</v>
      </c>
      <c r="K194" s="13" t="n">
        <f aca="false">IF(G194=E194,1,0)</f>
        <v>0</v>
      </c>
      <c r="L194" s="13" t="n">
        <f aca="false">IF(F194=C194,1,0)</f>
        <v>1</v>
      </c>
    </row>
    <row r="195" customFormat="false" ht="13.8" hidden="false" customHeight="false" outlineLevel="0" collapsed="false">
      <c r="A195" s="3" t="n">
        <v>194</v>
      </c>
      <c r="B195" s="3" t="s">
        <v>398</v>
      </c>
      <c r="C195" s="3" t="s">
        <v>105</v>
      </c>
      <c r="D195" s="3" t="s">
        <v>61</v>
      </c>
      <c r="E195" s="3" t="s">
        <v>61</v>
      </c>
      <c r="F195" s="3" t="s">
        <v>105</v>
      </c>
      <c r="G195" s="3" t="s">
        <v>61</v>
      </c>
      <c r="H195" s="3" t="n">
        <v>0.983</v>
      </c>
      <c r="I195" s="13" t="n">
        <f aca="false">IF(G195=E195,1,0)</f>
        <v>1</v>
      </c>
      <c r="K195" s="13" t="n">
        <f aca="false">IF(G195=E195,1,0)</f>
        <v>1</v>
      </c>
      <c r="L195" s="13" t="n">
        <f aca="false">IF(F195=C195,1,0)</f>
        <v>1</v>
      </c>
    </row>
    <row r="196" customFormat="false" ht="13.8" hidden="false" customHeight="false" outlineLevel="0" collapsed="false">
      <c r="A196" s="3" t="n">
        <v>195</v>
      </c>
      <c r="B196" s="3" t="s">
        <v>112</v>
      </c>
      <c r="C196" s="3" t="s">
        <v>105</v>
      </c>
      <c r="D196" s="3" t="s">
        <v>61</v>
      </c>
      <c r="E196" s="3" t="s">
        <v>61</v>
      </c>
      <c r="F196" s="3" t="s">
        <v>105</v>
      </c>
      <c r="G196" s="3" t="s">
        <v>61</v>
      </c>
      <c r="H196" s="3" t="n">
        <v>0.983</v>
      </c>
      <c r="I196" s="13" t="n">
        <f aca="false">IF(G196=E196,1,0)</f>
        <v>1</v>
      </c>
      <c r="K196" s="13" t="n">
        <f aca="false">IF(G196=E196,1,0)</f>
        <v>1</v>
      </c>
      <c r="L196" s="13" t="n">
        <f aca="false">IF(F196=C196,1,0)</f>
        <v>1</v>
      </c>
    </row>
    <row r="197" customFormat="false" ht="13.8" hidden="false" customHeight="false" outlineLevel="0" collapsed="false">
      <c r="A197" s="3" t="n">
        <v>196</v>
      </c>
      <c r="B197" s="3" t="s">
        <v>399</v>
      </c>
      <c r="C197" s="3" t="s">
        <v>143</v>
      </c>
      <c r="D197" s="3" t="s">
        <v>288</v>
      </c>
      <c r="E197" s="3" t="s">
        <v>288</v>
      </c>
      <c r="F197" s="3" t="s">
        <v>143</v>
      </c>
      <c r="G197" s="3" t="s">
        <v>79</v>
      </c>
      <c r="H197" s="3" t="n">
        <v>0.983</v>
      </c>
      <c r="I197" s="13" t="n">
        <f aca="false">IF(G197=E197,1,0)</f>
        <v>0</v>
      </c>
      <c r="J197" s="3" t="s">
        <v>257</v>
      </c>
    </row>
    <row r="198" customFormat="false" ht="13.8" hidden="false" customHeight="false" outlineLevel="0" collapsed="false">
      <c r="A198" s="3" t="n">
        <v>197</v>
      </c>
      <c r="B198" s="3" t="s">
        <v>400</v>
      </c>
      <c r="C198" s="3" t="s">
        <v>105</v>
      </c>
      <c r="D198" s="3" t="s">
        <v>61</v>
      </c>
      <c r="E198" s="3" t="s">
        <v>61</v>
      </c>
      <c r="F198" s="3" t="s">
        <v>105</v>
      </c>
      <c r="G198" s="3" t="s">
        <v>61</v>
      </c>
      <c r="H198" s="3" t="n">
        <v>0.983</v>
      </c>
      <c r="I198" s="13" t="n">
        <f aca="false">IF(G198=E198,1,0)</f>
        <v>1</v>
      </c>
      <c r="K198" s="13" t="n">
        <f aca="false">IF(G198=E198,1,0)</f>
        <v>1</v>
      </c>
      <c r="L198" s="13" t="n">
        <f aca="false">IF(F198=C198,1,0)</f>
        <v>1</v>
      </c>
    </row>
    <row r="199" customFormat="false" ht="13.8" hidden="false" customHeight="false" outlineLevel="0" collapsed="false">
      <c r="A199" s="3" t="n">
        <v>198</v>
      </c>
      <c r="B199" s="3" t="s">
        <v>401</v>
      </c>
      <c r="C199" s="3" t="s">
        <v>105</v>
      </c>
      <c r="D199" s="3" t="s">
        <v>61</v>
      </c>
      <c r="E199" s="3" t="s">
        <v>61</v>
      </c>
      <c r="F199" s="3" t="s">
        <v>105</v>
      </c>
      <c r="G199" s="3" t="s">
        <v>61</v>
      </c>
      <c r="H199" s="3" t="n">
        <v>0.983</v>
      </c>
      <c r="I199" s="13" t="n">
        <f aca="false">IF(G199=E199,1,0)</f>
        <v>1</v>
      </c>
      <c r="K199" s="13" t="n">
        <f aca="false">IF(G199=E199,1,0)</f>
        <v>1</v>
      </c>
      <c r="L199" s="13" t="n">
        <f aca="false">IF(F199=C199,1,0)</f>
        <v>1</v>
      </c>
    </row>
    <row r="200" customFormat="false" ht="13.8" hidden="false" customHeight="false" outlineLevel="0" collapsed="false">
      <c r="A200" s="3" t="n">
        <v>199</v>
      </c>
      <c r="B200" s="3" t="s">
        <v>402</v>
      </c>
      <c r="C200" s="3" t="s">
        <v>105</v>
      </c>
      <c r="D200" s="3" t="s">
        <v>61</v>
      </c>
      <c r="E200" s="3" t="s">
        <v>61</v>
      </c>
      <c r="F200" s="3" t="s">
        <v>105</v>
      </c>
      <c r="G200" s="3" t="s">
        <v>61</v>
      </c>
      <c r="H200" s="3" t="n">
        <v>0.982</v>
      </c>
      <c r="I200" s="13" t="n">
        <f aca="false">IF(G200=E200,1,0)</f>
        <v>1</v>
      </c>
      <c r="K200" s="13" t="n">
        <f aca="false">IF(G200=E200,1,0)</f>
        <v>1</v>
      </c>
      <c r="L200" s="13" t="n">
        <f aca="false">IF(F200=C200,1,0)</f>
        <v>1</v>
      </c>
    </row>
    <row r="201" customFormat="false" ht="13.8" hidden="false" customHeight="false" outlineLevel="0" collapsed="false">
      <c r="A201" s="3" t="n">
        <v>200</v>
      </c>
      <c r="B201" s="3" t="s">
        <v>403</v>
      </c>
      <c r="C201" s="3" t="s">
        <v>105</v>
      </c>
      <c r="D201" s="3" t="s">
        <v>61</v>
      </c>
      <c r="E201" s="3" t="s">
        <v>61</v>
      </c>
      <c r="F201" s="3" t="s">
        <v>105</v>
      </c>
      <c r="G201" s="3" t="s">
        <v>61</v>
      </c>
      <c r="H201" s="3" t="n">
        <v>0.982</v>
      </c>
      <c r="I201" s="13" t="n">
        <f aca="false">IF(G201=E201,1,0)</f>
        <v>1</v>
      </c>
      <c r="K201" s="13" t="n">
        <f aca="false">IF(G201=E201,1,0)</f>
        <v>1</v>
      </c>
      <c r="L201" s="13" t="n">
        <f aca="false">IF(F201=C201,1,0)</f>
        <v>1</v>
      </c>
    </row>
    <row r="202" customFormat="false" ht="15.75" hidden="false" customHeight="false" outlineLevel="0" collapsed="false">
      <c r="A202" s="3" t="n">
        <v>201</v>
      </c>
      <c r="B202" s="3" t="s">
        <v>404</v>
      </c>
      <c r="C202" s="3" t="s">
        <v>143</v>
      </c>
      <c r="D202" s="3" t="s">
        <v>256</v>
      </c>
      <c r="E202" s="3" t="s">
        <v>256</v>
      </c>
      <c r="F202" s="3" t="s">
        <v>143</v>
      </c>
      <c r="G202" s="3" t="s">
        <v>67</v>
      </c>
      <c r="H202" s="3" t="n">
        <v>0.982</v>
      </c>
      <c r="I202" s="13" t="n">
        <f aca="false">IF(G202=E202,1,0)</f>
        <v>0</v>
      </c>
      <c r="J202" s="3" t="s">
        <v>257</v>
      </c>
    </row>
    <row r="203" customFormat="false" ht="15.75" hidden="false" customHeight="false" outlineLevel="0" collapsed="false">
      <c r="A203" s="3" t="n">
        <v>202</v>
      </c>
      <c r="B203" s="3" t="s">
        <v>405</v>
      </c>
      <c r="C203" s="3" t="s">
        <v>143</v>
      </c>
      <c r="D203" s="3" t="s">
        <v>198</v>
      </c>
      <c r="E203" s="3" t="s">
        <v>67</v>
      </c>
      <c r="F203" s="3" t="s">
        <v>105</v>
      </c>
      <c r="G203" s="3" t="s">
        <v>61</v>
      </c>
      <c r="H203" s="3" t="n">
        <v>0.981</v>
      </c>
      <c r="I203" s="13" t="n">
        <f aca="false">IF(G203=E203,1,0)</f>
        <v>0</v>
      </c>
      <c r="K203" s="13" t="n">
        <f aca="false">IF(G203=E203,1,0)</f>
        <v>0</v>
      </c>
      <c r="L203" s="13" t="n">
        <f aca="false">IF(F203=C203,1,0)</f>
        <v>0</v>
      </c>
    </row>
    <row r="204" customFormat="false" ht="15.75" hidden="false" customHeight="false" outlineLevel="0" collapsed="false">
      <c r="A204" s="3" t="n">
        <v>203</v>
      </c>
      <c r="B204" s="3" t="s">
        <v>406</v>
      </c>
      <c r="C204" s="3" t="s">
        <v>105</v>
      </c>
      <c r="D204" s="3" t="s">
        <v>61</v>
      </c>
      <c r="E204" s="3" t="s">
        <v>61</v>
      </c>
      <c r="F204" s="3" t="s">
        <v>105</v>
      </c>
      <c r="G204" s="3" t="s">
        <v>61</v>
      </c>
      <c r="H204" s="3" t="n">
        <v>0.981</v>
      </c>
      <c r="I204" s="13" t="n">
        <f aca="false">IF(G204=E204,1,0)</f>
        <v>1</v>
      </c>
      <c r="K204" s="13" t="n">
        <f aca="false">IF(G204=E204,1,0)</f>
        <v>1</v>
      </c>
      <c r="L204" s="13" t="n">
        <f aca="false">IF(F204=C204,1,0)</f>
        <v>1</v>
      </c>
    </row>
    <row r="205" customFormat="false" ht="15.75" hidden="false" customHeight="false" outlineLevel="0" collapsed="false">
      <c r="A205" s="3" t="n">
        <v>204</v>
      </c>
      <c r="B205" s="3" t="s">
        <v>407</v>
      </c>
      <c r="C205" s="3" t="s">
        <v>105</v>
      </c>
      <c r="D205" s="3" t="s">
        <v>61</v>
      </c>
      <c r="E205" s="3" t="s">
        <v>61</v>
      </c>
      <c r="F205" s="3" t="s">
        <v>105</v>
      </c>
      <c r="G205" s="3" t="s">
        <v>61</v>
      </c>
      <c r="H205" s="3" t="n">
        <v>0.98</v>
      </c>
      <c r="I205" s="13" t="n">
        <f aca="false">IF(G205=E205,1,0)</f>
        <v>1</v>
      </c>
      <c r="K205" s="13" t="n">
        <f aca="false">IF(G205=E205,1,0)</f>
        <v>1</v>
      </c>
      <c r="L205" s="13" t="n">
        <f aca="false">IF(F205=C205,1,0)</f>
        <v>1</v>
      </c>
    </row>
    <row r="206" customFormat="false" ht="15.75" hidden="false" customHeight="false" outlineLevel="0" collapsed="false">
      <c r="A206" s="3" t="n">
        <v>205</v>
      </c>
      <c r="B206" s="3" t="s">
        <v>408</v>
      </c>
      <c r="C206" s="3" t="s">
        <v>105</v>
      </c>
      <c r="D206" s="3" t="s">
        <v>61</v>
      </c>
      <c r="E206" s="3" t="s">
        <v>61</v>
      </c>
      <c r="F206" s="3" t="s">
        <v>105</v>
      </c>
      <c r="G206" s="3" t="s">
        <v>61</v>
      </c>
      <c r="H206" s="3" t="n">
        <v>0.98</v>
      </c>
      <c r="I206" s="13" t="n">
        <f aca="false">IF(G206=E206,1,0)</f>
        <v>1</v>
      </c>
      <c r="K206" s="13" t="n">
        <f aca="false">IF(G206=E206,1,0)</f>
        <v>1</v>
      </c>
      <c r="L206" s="13" t="n">
        <f aca="false">IF(F206=C206,1,0)</f>
        <v>1</v>
      </c>
    </row>
    <row r="207" customFormat="false" ht="15.75" hidden="false" customHeight="false" outlineLevel="0" collapsed="false">
      <c r="A207" s="3" t="n">
        <v>206</v>
      </c>
      <c r="B207" s="3" t="s">
        <v>409</v>
      </c>
      <c r="C207" s="3" t="s">
        <v>143</v>
      </c>
      <c r="D207" s="3" t="s">
        <v>256</v>
      </c>
      <c r="E207" s="3" t="s">
        <v>256</v>
      </c>
      <c r="F207" s="3" t="s">
        <v>143</v>
      </c>
      <c r="G207" s="3" t="s">
        <v>67</v>
      </c>
      <c r="H207" s="3" t="n">
        <v>0.98</v>
      </c>
      <c r="I207" s="13" t="n">
        <f aca="false">IF(G207=E207,1,0)</f>
        <v>0</v>
      </c>
      <c r="J207" s="3" t="s">
        <v>257</v>
      </c>
    </row>
    <row r="208" customFormat="false" ht="15.75" hidden="false" customHeight="false" outlineLevel="0" collapsed="false">
      <c r="A208" s="3" t="n">
        <v>207</v>
      </c>
      <c r="B208" s="3" t="s">
        <v>410</v>
      </c>
      <c r="C208" s="3" t="s">
        <v>133</v>
      </c>
      <c r="D208" s="3" t="s">
        <v>65</v>
      </c>
      <c r="E208" s="3" t="s">
        <v>65</v>
      </c>
      <c r="F208" s="3" t="s">
        <v>133</v>
      </c>
      <c r="G208" s="3" t="s">
        <v>65</v>
      </c>
      <c r="H208" s="3" t="n">
        <v>0.979</v>
      </c>
      <c r="I208" s="13" t="n">
        <f aca="false">IF(G208=E208,1,0)</f>
        <v>1</v>
      </c>
      <c r="K208" s="13" t="n">
        <f aca="false">IF(G208=E208,1,0)</f>
        <v>1</v>
      </c>
      <c r="L208" s="13" t="n">
        <f aca="false">IF(F208=C208,1,0)</f>
        <v>1</v>
      </c>
    </row>
    <row r="209" customFormat="false" ht="15.75" hidden="false" customHeight="false" outlineLevel="0" collapsed="false">
      <c r="A209" s="3" t="n">
        <v>208</v>
      </c>
      <c r="B209" s="3" t="s">
        <v>411</v>
      </c>
      <c r="C209" s="3" t="s">
        <v>143</v>
      </c>
      <c r="D209" s="3" t="s">
        <v>198</v>
      </c>
      <c r="E209" s="3" t="s">
        <v>67</v>
      </c>
      <c r="F209" s="3" t="s">
        <v>143</v>
      </c>
      <c r="G209" s="3" t="s">
        <v>67</v>
      </c>
      <c r="H209" s="3" t="n">
        <v>0.979</v>
      </c>
      <c r="I209" s="13" t="n">
        <f aca="false">IF(G209=E209,1,0)</f>
        <v>1</v>
      </c>
      <c r="K209" s="13" t="n">
        <f aca="false">IF(G209=E209,1,0)</f>
        <v>1</v>
      </c>
      <c r="L209" s="13" t="n">
        <f aca="false">IF(F209=C209,1,0)</f>
        <v>1</v>
      </c>
    </row>
    <row r="210" customFormat="false" ht="15.75" hidden="false" customHeight="false" outlineLevel="0" collapsed="false">
      <c r="A210" s="3" t="n">
        <v>209</v>
      </c>
      <c r="B210" s="3" t="s">
        <v>412</v>
      </c>
      <c r="C210" s="3" t="s">
        <v>105</v>
      </c>
      <c r="D210" s="3" t="s">
        <v>61</v>
      </c>
      <c r="E210" s="3" t="s">
        <v>61</v>
      </c>
      <c r="F210" s="3" t="s">
        <v>105</v>
      </c>
      <c r="G210" s="3" t="s">
        <v>61</v>
      </c>
      <c r="H210" s="3" t="n">
        <v>0.979</v>
      </c>
      <c r="I210" s="13" t="n">
        <f aca="false">IF(G210=E210,1,0)</f>
        <v>1</v>
      </c>
      <c r="K210" s="13" t="n">
        <f aca="false">IF(G210=E210,1,0)</f>
        <v>1</v>
      </c>
      <c r="L210" s="13" t="n">
        <f aca="false">IF(F210=C210,1,0)</f>
        <v>1</v>
      </c>
    </row>
    <row r="211" customFormat="false" ht="15.75" hidden="false" customHeight="false" outlineLevel="0" collapsed="false">
      <c r="A211" s="3" t="n">
        <v>210</v>
      </c>
      <c r="B211" s="3" t="s">
        <v>413</v>
      </c>
      <c r="C211" s="3" t="s">
        <v>150</v>
      </c>
      <c r="D211" s="3" t="s">
        <v>245</v>
      </c>
      <c r="E211" s="3" t="s">
        <v>83</v>
      </c>
      <c r="F211" s="3" t="s">
        <v>150</v>
      </c>
      <c r="G211" s="3" t="s">
        <v>83</v>
      </c>
      <c r="H211" s="3" t="n">
        <v>0.979</v>
      </c>
      <c r="I211" s="13" t="n">
        <f aca="false">IF(G211=E211,1,0)</f>
        <v>1</v>
      </c>
      <c r="K211" s="13" t="n">
        <f aca="false">IF(G211=E211,1,0)</f>
        <v>1</v>
      </c>
      <c r="L211" s="13" t="n">
        <f aca="false">IF(F211=C211,1,0)</f>
        <v>1</v>
      </c>
    </row>
    <row r="212" customFormat="false" ht="15.75" hidden="false" customHeight="false" outlineLevel="0" collapsed="false">
      <c r="A212" s="3" t="n">
        <v>211</v>
      </c>
      <c r="B212" s="3" t="s">
        <v>414</v>
      </c>
      <c r="C212" s="3" t="s">
        <v>150</v>
      </c>
      <c r="D212" s="3" t="s">
        <v>415</v>
      </c>
      <c r="E212" s="3" t="s">
        <v>83</v>
      </c>
      <c r="F212" s="3" t="s">
        <v>150</v>
      </c>
      <c r="G212" s="3" t="s">
        <v>83</v>
      </c>
      <c r="H212" s="3" t="n">
        <v>0.979</v>
      </c>
      <c r="I212" s="13" t="n">
        <f aca="false">IF(G212=E212,1,0)</f>
        <v>1</v>
      </c>
      <c r="K212" s="13" t="n">
        <f aca="false">IF(G212=E212,1,0)</f>
        <v>1</v>
      </c>
      <c r="L212" s="13" t="n">
        <f aca="false">IF(F212=C212,1,0)</f>
        <v>1</v>
      </c>
    </row>
    <row r="213" customFormat="false" ht="15.75" hidden="false" customHeight="false" outlineLevel="0" collapsed="false">
      <c r="A213" s="3" t="n">
        <v>212</v>
      </c>
      <c r="B213" s="3" t="s">
        <v>416</v>
      </c>
      <c r="C213" s="3" t="s">
        <v>105</v>
      </c>
      <c r="D213" s="3" t="s">
        <v>61</v>
      </c>
      <c r="E213" s="3" t="s">
        <v>61</v>
      </c>
      <c r="F213" s="3" t="s">
        <v>105</v>
      </c>
      <c r="G213" s="3" t="s">
        <v>61</v>
      </c>
      <c r="H213" s="3" t="n">
        <v>0.978</v>
      </c>
      <c r="I213" s="13" t="n">
        <f aca="false">IF(G213=E213,1,0)</f>
        <v>1</v>
      </c>
      <c r="K213" s="13" t="n">
        <f aca="false">IF(G213=E213,1,0)</f>
        <v>1</v>
      </c>
      <c r="L213" s="13" t="n">
        <f aca="false">IF(F213=C213,1,0)</f>
        <v>1</v>
      </c>
    </row>
    <row r="214" customFormat="false" ht="15.75" hidden="false" customHeight="false" outlineLevel="0" collapsed="false">
      <c r="A214" s="3" t="n">
        <v>213</v>
      </c>
      <c r="B214" s="3" t="s">
        <v>417</v>
      </c>
      <c r="C214" s="3" t="s">
        <v>143</v>
      </c>
      <c r="D214" s="3" t="s">
        <v>198</v>
      </c>
      <c r="E214" s="3" t="s">
        <v>67</v>
      </c>
      <c r="F214" s="3" t="s">
        <v>143</v>
      </c>
      <c r="G214" s="3" t="s">
        <v>67</v>
      </c>
      <c r="H214" s="3" t="n">
        <v>0.978</v>
      </c>
      <c r="I214" s="13" t="n">
        <f aca="false">IF(G214=E214,1,0)</f>
        <v>1</v>
      </c>
      <c r="K214" s="13" t="n">
        <f aca="false">IF(G214=E214,1,0)</f>
        <v>1</v>
      </c>
      <c r="L214" s="13" t="n">
        <f aca="false">IF(F214=C214,1,0)</f>
        <v>1</v>
      </c>
    </row>
    <row r="215" customFormat="false" ht="15.75" hidden="false" customHeight="false" outlineLevel="0" collapsed="false">
      <c r="A215" s="3" t="n">
        <v>214</v>
      </c>
      <c r="B215" s="3" t="s">
        <v>418</v>
      </c>
      <c r="C215" s="3" t="s">
        <v>105</v>
      </c>
      <c r="D215" s="3" t="s">
        <v>61</v>
      </c>
      <c r="E215" s="3" t="s">
        <v>61</v>
      </c>
      <c r="F215" s="3" t="s">
        <v>143</v>
      </c>
      <c r="G215" s="3" t="s">
        <v>69</v>
      </c>
      <c r="H215" s="3" t="n">
        <v>0.978</v>
      </c>
      <c r="I215" s="13" t="n">
        <f aca="false">IF(G215=E215,1,0)</f>
        <v>0</v>
      </c>
      <c r="K215" s="13" t="n">
        <f aca="false">IF(G215=E215,1,0)</f>
        <v>0</v>
      </c>
      <c r="L215" s="13" t="n">
        <f aca="false">IF(F215=C215,1,0)</f>
        <v>0</v>
      </c>
    </row>
    <row r="216" customFormat="false" ht="15.75" hidden="false" customHeight="false" outlineLevel="0" collapsed="false">
      <c r="A216" s="3" t="n">
        <v>215</v>
      </c>
      <c r="B216" s="3" t="s">
        <v>419</v>
      </c>
      <c r="C216" s="3" t="s">
        <v>105</v>
      </c>
      <c r="D216" s="3" t="s">
        <v>61</v>
      </c>
      <c r="E216" s="3" t="s">
        <v>61</v>
      </c>
      <c r="F216" s="3" t="s">
        <v>105</v>
      </c>
      <c r="G216" s="3" t="s">
        <v>61</v>
      </c>
      <c r="H216" s="3" t="n">
        <v>0.977</v>
      </c>
      <c r="I216" s="13" t="n">
        <f aca="false">IF(G216=E216,1,0)</f>
        <v>1</v>
      </c>
      <c r="K216" s="13" t="n">
        <f aca="false">IF(G216=E216,1,0)</f>
        <v>1</v>
      </c>
      <c r="L216" s="13" t="n">
        <f aca="false">IF(F216=C216,1,0)</f>
        <v>1</v>
      </c>
    </row>
    <row r="217" customFormat="false" ht="15.75" hidden="false" customHeight="false" outlineLevel="0" collapsed="false">
      <c r="A217" s="3" t="n">
        <v>216</v>
      </c>
      <c r="B217" s="3" t="s">
        <v>420</v>
      </c>
      <c r="C217" s="3" t="s">
        <v>105</v>
      </c>
      <c r="D217" s="3" t="s">
        <v>61</v>
      </c>
      <c r="E217" s="3" t="s">
        <v>61</v>
      </c>
      <c r="F217" s="3" t="s">
        <v>105</v>
      </c>
      <c r="G217" s="3" t="s">
        <v>61</v>
      </c>
      <c r="H217" s="3" t="n">
        <v>0.976</v>
      </c>
      <c r="I217" s="13" t="n">
        <f aca="false">IF(G217=E217,1,0)</f>
        <v>1</v>
      </c>
      <c r="K217" s="13" t="n">
        <f aca="false">IF(G217=E217,1,0)</f>
        <v>1</v>
      </c>
      <c r="L217" s="13" t="n">
        <f aca="false">IF(F217=C217,1,0)</f>
        <v>1</v>
      </c>
    </row>
    <row r="218" customFormat="false" ht="15.75" hidden="false" customHeight="false" outlineLevel="0" collapsed="false">
      <c r="A218" s="3" t="n">
        <v>217</v>
      </c>
      <c r="B218" s="3" t="s">
        <v>421</v>
      </c>
      <c r="C218" s="3" t="s">
        <v>105</v>
      </c>
      <c r="D218" s="3" t="s">
        <v>61</v>
      </c>
      <c r="E218" s="3" t="s">
        <v>61</v>
      </c>
      <c r="F218" s="3" t="s">
        <v>105</v>
      </c>
      <c r="G218" s="3" t="s">
        <v>61</v>
      </c>
      <c r="H218" s="3" t="n">
        <v>0.975</v>
      </c>
      <c r="I218" s="13" t="n">
        <f aca="false">IF(G218=E218,1,0)</f>
        <v>1</v>
      </c>
      <c r="K218" s="13" t="n">
        <f aca="false">IF(G218=E218,1,0)</f>
        <v>1</v>
      </c>
      <c r="L218" s="13" t="n">
        <f aca="false">IF(F218=C218,1,0)</f>
        <v>1</v>
      </c>
    </row>
    <row r="219" customFormat="false" ht="15.75" hidden="false" customHeight="false" outlineLevel="0" collapsed="false">
      <c r="A219" s="3" t="n">
        <v>218</v>
      </c>
      <c r="B219" s="3" t="s">
        <v>422</v>
      </c>
      <c r="C219" s="3" t="s">
        <v>105</v>
      </c>
      <c r="D219" s="3" t="s">
        <v>77</v>
      </c>
      <c r="E219" s="3" t="s">
        <v>77</v>
      </c>
      <c r="F219" s="3" t="s">
        <v>105</v>
      </c>
      <c r="G219" s="3" t="s">
        <v>77</v>
      </c>
      <c r="H219" s="3" t="n">
        <v>0.975</v>
      </c>
      <c r="I219" s="13" t="n">
        <f aca="false">IF(G219=E219,1,0)</f>
        <v>1</v>
      </c>
      <c r="K219" s="13" t="n">
        <f aca="false">IF(G219=E219,1,0)</f>
        <v>1</v>
      </c>
      <c r="L219" s="13" t="n">
        <f aca="false">IF(F219=C219,1,0)</f>
        <v>1</v>
      </c>
    </row>
    <row r="220" customFormat="false" ht="15.75" hidden="false" customHeight="false" outlineLevel="0" collapsed="false">
      <c r="A220" s="3" t="n">
        <v>219</v>
      </c>
      <c r="B220" s="3" t="s">
        <v>423</v>
      </c>
      <c r="C220" s="3" t="s">
        <v>143</v>
      </c>
      <c r="D220" s="3" t="s">
        <v>351</v>
      </c>
      <c r="E220" s="3" t="s">
        <v>351</v>
      </c>
      <c r="F220" s="3" t="s">
        <v>143</v>
      </c>
      <c r="G220" s="3" t="s">
        <v>79</v>
      </c>
      <c r="H220" s="3" t="n">
        <v>0.974</v>
      </c>
      <c r="I220" s="13" t="n">
        <f aca="false">IF(G220=E220,1,0)</f>
        <v>0</v>
      </c>
      <c r="J220" s="3" t="s">
        <v>257</v>
      </c>
    </row>
    <row r="221" customFormat="false" ht="15.75" hidden="false" customHeight="false" outlineLevel="0" collapsed="false">
      <c r="A221" s="3" t="n">
        <v>220</v>
      </c>
      <c r="B221" s="3" t="s">
        <v>424</v>
      </c>
      <c r="C221" s="3" t="s">
        <v>105</v>
      </c>
      <c r="D221" s="3" t="s">
        <v>61</v>
      </c>
      <c r="E221" s="3" t="s">
        <v>61</v>
      </c>
      <c r="F221" s="3" t="s">
        <v>150</v>
      </c>
      <c r="G221" s="3" t="s">
        <v>83</v>
      </c>
      <c r="H221" s="3" t="n">
        <v>0.974</v>
      </c>
      <c r="I221" s="13" t="n">
        <f aca="false">IF(G221=E221,1,0)</f>
        <v>0</v>
      </c>
      <c r="K221" s="13" t="n">
        <f aca="false">IF(G221=E221,1,0)</f>
        <v>0</v>
      </c>
      <c r="L221" s="13" t="n">
        <f aca="false">IF(F221=C221,1,0)</f>
        <v>0</v>
      </c>
    </row>
    <row r="222" customFormat="false" ht="15.75" hidden="false" customHeight="false" outlineLevel="0" collapsed="false">
      <c r="A222" s="3" t="n">
        <v>221</v>
      </c>
      <c r="B222" s="3" t="s">
        <v>425</v>
      </c>
      <c r="C222" s="3" t="s">
        <v>105</v>
      </c>
      <c r="D222" s="3" t="s">
        <v>61</v>
      </c>
      <c r="E222" s="3" t="s">
        <v>61</v>
      </c>
      <c r="F222" s="3" t="s">
        <v>105</v>
      </c>
      <c r="G222" s="3" t="s">
        <v>55</v>
      </c>
      <c r="H222" s="3" t="n">
        <v>0.974</v>
      </c>
      <c r="I222" s="13" t="n">
        <f aca="false">IF(G222=E222,1,0)</f>
        <v>0</v>
      </c>
      <c r="K222" s="13" t="n">
        <f aca="false">IF(G222=E222,1,0)</f>
        <v>0</v>
      </c>
      <c r="L222" s="13" t="n">
        <f aca="false">IF(F222=C222,1,0)</f>
        <v>1</v>
      </c>
    </row>
    <row r="223" customFormat="false" ht="15.75" hidden="false" customHeight="false" outlineLevel="0" collapsed="false">
      <c r="A223" s="3" t="n">
        <v>222</v>
      </c>
      <c r="B223" s="3" t="s">
        <v>426</v>
      </c>
      <c r="C223" s="3" t="s">
        <v>105</v>
      </c>
      <c r="D223" s="3" t="s">
        <v>61</v>
      </c>
      <c r="E223" s="3" t="s">
        <v>61</v>
      </c>
      <c r="F223" s="3" t="s">
        <v>150</v>
      </c>
      <c r="G223" s="3" t="s">
        <v>83</v>
      </c>
      <c r="H223" s="3" t="n">
        <v>0.973</v>
      </c>
      <c r="I223" s="13" t="n">
        <f aca="false">IF(G223=E223,1,0)</f>
        <v>0</v>
      </c>
      <c r="K223" s="13" t="n">
        <f aca="false">IF(G223=E223,1,0)</f>
        <v>0</v>
      </c>
      <c r="L223" s="13" t="n">
        <f aca="false">IF(F223=C223,1,0)</f>
        <v>0</v>
      </c>
    </row>
    <row r="224" customFormat="false" ht="15.75" hidden="false" customHeight="false" outlineLevel="0" collapsed="false">
      <c r="A224" s="3" t="n">
        <v>223</v>
      </c>
      <c r="B224" s="3" t="s">
        <v>427</v>
      </c>
      <c r="C224" s="3" t="s">
        <v>150</v>
      </c>
      <c r="D224" s="3" t="s">
        <v>245</v>
      </c>
      <c r="E224" s="3" t="s">
        <v>83</v>
      </c>
      <c r="F224" s="3" t="s">
        <v>150</v>
      </c>
      <c r="G224" s="3" t="s">
        <v>75</v>
      </c>
      <c r="H224" s="3" t="n">
        <v>0.973</v>
      </c>
      <c r="I224" s="13" t="n">
        <f aca="false">IF(G224=E224,1,0)</f>
        <v>0</v>
      </c>
      <c r="K224" s="13" t="n">
        <f aca="false">IF(G224=E224,1,0)</f>
        <v>0</v>
      </c>
      <c r="L224" s="13" t="n">
        <f aca="false">IF(F224=C224,1,0)</f>
        <v>1</v>
      </c>
    </row>
    <row r="225" customFormat="false" ht="15.75" hidden="false" customHeight="false" outlineLevel="0" collapsed="false">
      <c r="A225" s="3" t="n">
        <v>224</v>
      </c>
      <c r="B225" s="3" t="s">
        <v>428</v>
      </c>
      <c r="C225" s="3" t="s">
        <v>143</v>
      </c>
      <c r="D225" s="3" t="s">
        <v>198</v>
      </c>
      <c r="E225" s="3" t="s">
        <v>67</v>
      </c>
      <c r="F225" s="3" t="s">
        <v>143</v>
      </c>
      <c r="G225" s="3" t="s">
        <v>67</v>
      </c>
      <c r="H225" s="3" t="n">
        <v>0.973</v>
      </c>
      <c r="I225" s="13" t="n">
        <f aca="false">IF(G225=E225,1,0)</f>
        <v>1</v>
      </c>
      <c r="K225" s="13" t="n">
        <f aca="false">IF(G225=E225,1,0)</f>
        <v>1</v>
      </c>
      <c r="L225" s="13" t="n">
        <f aca="false">IF(F225=C225,1,0)</f>
        <v>1</v>
      </c>
    </row>
    <row r="226" customFormat="false" ht="15.75" hidden="false" customHeight="false" outlineLevel="0" collapsed="false">
      <c r="A226" s="3" t="n">
        <v>225</v>
      </c>
      <c r="B226" s="3" t="s">
        <v>429</v>
      </c>
      <c r="C226" s="3" t="s">
        <v>105</v>
      </c>
      <c r="D226" s="3" t="s">
        <v>61</v>
      </c>
      <c r="E226" s="3" t="s">
        <v>61</v>
      </c>
      <c r="F226" s="3" t="s">
        <v>143</v>
      </c>
      <c r="G226" s="3" t="s">
        <v>67</v>
      </c>
      <c r="H226" s="3" t="n">
        <v>0.972</v>
      </c>
      <c r="I226" s="13" t="n">
        <f aca="false">IF(G226=E226,1,0)</f>
        <v>0</v>
      </c>
      <c r="K226" s="13" t="n">
        <f aca="false">IF(G226=E226,1,0)</f>
        <v>0</v>
      </c>
      <c r="L226" s="13" t="n">
        <f aca="false">IF(F226=C226,1,0)</f>
        <v>0</v>
      </c>
    </row>
    <row r="227" customFormat="false" ht="15.75" hidden="false" customHeight="false" outlineLevel="0" collapsed="false">
      <c r="A227" s="3" t="n">
        <v>226</v>
      </c>
      <c r="B227" s="3" t="s">
        <v>430</v>
      </c>
      <c r="C227" s="3" t="s">
        <v>150</v>
      </c>
      <c r="D227" s="3" t="s">
        <v>254</v>
      </c>
      <c r="E227" s="3" t="s">
        <v>85</v>
      </c>
      <c r="F227" s="3" t="s">
        <v>150</v>
      </c>
      <c r="G227" s="3" t="s">
        <v>85</v>
      </c>
      <c r="H227" s="3" t="n">
        <v>0.972</v>
      </c>
      <c r="I227" s="13" t="n">
        <f aca="false">IF(G227=E227,1,0)</f>
        <v>1</v>
      </c>
      <c r="K227" s="13" t="n">
        <f aca="false">IF(G227=E227,1,0)</f>
        <v>1</v>
      </c>
      <c r="L227" s="13" t="n">
        <f aca="false">IF(F227=C227,1,0)</f>
        <v>1</v>
      </c>
    </row>
    <row r="228" customFormat="false" ht="15.75" hidden="false" customHeight="false" outlineLevel="0" collapsed="false">
      <c r="A228" s="3" t="n">
        <v>227</v>
      </c>
      <c r="B228" s="3" t="s">
        <v>431</v>
      </c>
      <c r="C228" s="3" t="s">
        <v>105</v>
      </c>
      <c r="D228" s="3" t="s">
        <v>61</v>
      </c>
      <c r="E228" s="3" t="s">
        <v>61</v>
      </c>
      <c r="F228" s="3" t="s">
        <v>105</v>
      </c>
      <c r="G228" s="3" t="s">
        <v>77</v>
      </c>
      <c r="H228" s="3" t="n">
        <v>0.972</v>
      </c>
      <c r="I228" s="13" t="n">
        <f aca="false">IF(G228=E228,1,0)</f>
        <v>0</v>
      </c>
      <c r="K228" s="13" t="n">
        <f aca="false">IF(G228=E228,1,0)</f>
        <v>0</v>
      </c>
      <c r="L228" s="13" t="n">
        <f aca="false">IF(F228=C228,1,0)</f>
        <v>1</v>
      </c>
    </row>
    <row r="229" customFormat="false" ht="15.75" hidden="false" customHeight="false" outlineLevel="0" collapsed="false">
      <c r="A229" s="3" t="n">
        <v>228</v>
      </c>
      <c r="B229" s="3" t="s">
        <v>432</v>
      </c>
      <c r="C229" s="3" t="s">
        <v>105</v>
      </c>
      <c r="D229" s="3" t="s">
        <v>55</v>
      </c>
      <c r="E229" s="3" t="s">
        <v>55</v>
      </c>
      <c r="F229" s="3" t="s">
        <v>150</v>
      </c>
      <c r="G229" s="3" t="s">
        <v>83</v>
      </c>
      <c r="H229" s="3" t="n">
        <v>0.971</v>
      </c>
      <c r="I229" s="13" t="n">
        <f aca="false">IF(G229=E229,1,0)</f>
        <v>0</v>
      </c>
      <c r="K229" s="13" t="n">
        <f aca="false">IF(G229=E229,1,0)</f>
        <v>0</v>
      </c>
      <c r="L229" s="13" t="n">
        <f aca="false">IF(F229=C229,1,0)</f>
        <v>0</v>
      </c>
    </row>
    <row r="230" customFormat="false" ht="15.75" hidden="false" customHeight="false" outlineLevel="0" collapsed="false">
      <c r="A230" s="3" t="n">
        <v>229</v>
      </c>
      <c r="B230" s="3" t="s">
        <v>433</v>
      </c>
      <c r="C230" s="3" t="s">
        <v>133</v>
      </c>
      <c r="D230" s="3" t="s">
        <v>65</v>
      </c>
      <c r="E230" s="3" t="s">
        <v>65</v>
      </c>
      <c r="F230" s="3" t="s">
        <v>133</v>
      </c>
      <c r="G230" s="3" t="s">
        <v>65</v>
      </c>
      <c r="H230" s="3" t="n">
        <v>0.969</v>
      </c>
      <c r="I230" s="13" t="n">
        <f aca="false">IF(G230=E230,1,0)</f>
        <v>1</v>
      </c>
      <c r="K230" s="13" t="n">
        <f aca="false">IF(G230=E230,1,0)</f>
        <v>1</v>
      </c>
      <c r="L230" s="13" t="n">
        <f aca="false">IF(F230=C230,1,0)</f>
        <v>1</v>
      </c>
    </row>
    <row r="231" customFormat="false" ht="15.75" hidden="false" customHeight="false" outlineLevel="0" collapsed="false">
      <c r="A231" s="3" t="n">
        <v>230</v>
      </c>
      <c r="B231" s="3" t="s">
        <v>434</v>
      </c>
      <c r="C231" s="3" t="s">
        <v>105</v>
      </c>
      <c r="D231" s="3" t="s">
        <v>61</v>
      </c>
      <c r="E231" s="3" t="s">
        <v>61</v>
      </c>
      <c r="F231" s="3" t="s">
        <v>150</v>
      </c>
      <c r="G231" s="3" t="s">
        <v>83</v>
      </c>
      <c r="H231" s="3" t="n">
        <v>0.969</v>
      </c>
      <c r="I231" s="13" t="n">
        <f aca="false">IF(G231=E231,1,0)</f>
        <v>0</v>
      </c>
      <c r="K231" s="13" t="n">
        <f aca="false">IF(G231=E231,1,0)</f>
        <v>0</v>
      </c>
      <c r="L231" s="13" t="n">
        <f aca="false">IF(F231=C231,1,0)</f>
        <v>0</v>
      </c>
    </row>
    <row r="232" customFormat="false" ht="15.75" hidden="false" customHeight="false" outlineLevel="0" collapsed="false">
      <c r="A232" s="3" t="n">
        <v>231</v>
      </c>
      <c r="B232" s="3" t="s">
        <v>435</v>
      </c>
      <c r="C232" s="3" t="s">
        <v>133</v>
      </c>
      <c r="D232" s="3" t="s">
        <v>65</v>
      </c>
      <c r="E232" s="3" t="s">
        <v>65</v>
      </c>
      <c r="F232" s="3" t="s">
        <v>133</v>
      </c>
      <c r="G232" s="3" t="s">
        <v>65</v>
      </c>
      <c r="H232" s="3" t="n">
        <v>0.969</v>
      </c>
      <c r="I232" s="13" t="n">
        <f aca="false">IF(G232=E232,1,0)</f>
        <v>1</v>
      </c>
      <c r="K232" s="13" t="n">
        <f aca="false">IF(G232=E232,1,0)</f>
        <v>1</v>
      </c>
      <c r="L232" s="13" t="n">
        <f aca="false">IF(F232=C232,1,0)</f>
        <v>1</v>
      </c>
    </row>
    <row r="233" customFormat="false" ht="15.75" hidden="false" customHeight="false" outlineLevel="0" collapsed="false">
      <c r="A233" s="3" t="n">
        <v>232</v>
      </c>
      <c r="B233" s="3" t="s">
        <v>436</v>
      </c>
      <c r="C233" s="3" t="s">
        <v>105</v>
      </c>
      <c r="D233" s="3" t="s">
        <v>77</v>
      </c>
      <c r="E233" s="3" t="s">
        <v>77</v>
      </c>
      <c r="F233" s="3" t="s">
        <v>105</v>
      </c>
      <c r="G233" s="3" t="s">
        <v>77</v>
      </c>
      <c r="H233" s="3" t="n">
        <v>0.968</v>
      </c>
      <c r="I233" s="13" t="n">
        <f aca="false">IF(G233=E233,1,0)</f>
        <v>1</v>
      </c>
      <c r="K233" s="13" t="n">
        <f aca="false">IF(G233=E233,1,0)</f>
        <v>1</v>
      </c>
      <c r="L233" s="13" t="n">
        <f aca="false">IF(F233=C233,1,0)</f>
        <v>1</v>
      </c>
    </row>
    <row r="234" customFormat="false" ht="15.75" hidden="false" customHeight="false" outlineLevel="0" collapsed="false">
      <c r="A234" s="3" t="n">
        <v>233</v>
      </c>
      <c r="B234" s="3" t="s">
        <v>437</v>
      </c>
      <c r="C234" s="3" t="s">
        <v>105</v>
      </c>
      <c r="D234" s="3" t="s">
        <v>61</v>
      </c>
      <c r="E234" s="3" t="s">
        <v>61</v>
      </c>
      <c r="F234" s="3" t="s">
        <v>143</v>
      </c>
      <c r="G234" s="3" t="s">
        <v>69</v>
      </c>
      <c r="H234" s="3" t="n">
        <v>0.968</v>
      </c>
      <c r="I234" s="13" t="n">
        <f aca="false">IF(G234=E234,1,0)</f>
        <v>0</v>
      </c>
      <c r="K234" s="13" t="n">
        <f aca="false">IF(G234=E234,1,0)</f>
        <v>0</v>
      </c>
      <c r="L234" s="13" t="n">
        <f aca="false">IF(F234=C234,1,0)</f>
        <v>0</v>
      </c>
    </row>
    <row r="235" customFormat="false" ht="15.75" hidden="false" customHeight="false" outlineLevel="0" collapsed="false">
      <c r="A235" s="3" t="n">
        <v>234</v>
      </c>
      <c r="B235" s="3" t="s">
        <v>438</v>
      </c>
      <c r="C235" s="3" t="s">
        <v>105</v>
      </c>
      <c r="D235" s="3" t="s">
        <v>61</v>
      </c>
      <c r="E235" s="3" t="s">
        <v>61</v>
      </c>
      <c r="F235" s="3" t="s">
        <v>105</v>
      </c>
      <c r="G235" s="3" t="s">
        <v>61</v>
      </c>
      <c r="H235" s="3" t="n">
        <v>0.968</v>
      </c>
      <c r="I235" s="13" t="n">
        <f aca="false">IF(G235=E235,1,0)</f>
        <v>1</v>
      </c>
      <c r="K235" s="13" t="n">
        <f aca="false">IF(G235=E235,1,0)</f>
        <v>1</v>
      </c>
      <c r="L235" s="13" t="n">
        <f aca="false">IF(F235=C235,1,0)</f>
        <v>1</v>
      </c>
    </row>
    <row r="236" customFormat="false" ht="15.75" hidden="false" customHeight="false" outlineLevel="0" collapsed="false">
      <c r="A236" s="3" t="n">
        <v>235</v>
      </c>
      <c r="B236" s="3" t="s">
        <v>439</v>
      </c>
      <c r="C236" s="3" t="s">
        <v>105</v>
      </c>
      <c r="D236" s="3" t="s">
        <v>61</v>
      </c>
      <c r="E236" s="3" t="s">
        <v>61</v>
      </c>
      <c r="F236" s="3" t="s">
        <v>105</v>
      </c>
      <c r="G236" s="3" t="s">
        <v>61</v>
      </c>
      <c r="H236" s="3" t="n">
        <v>0.967</v>
      </c>
      <c r="I236" s="13" t="n">
        <f aca="false">IF(G236=E236,1,0)</f>
        <v>1</v>
      </c>
      <c r="K236" s="13" t="n">
        <f aca="false">IF(G236=E236,1,0)</f>
        <v>1</v>
      </c>
      <c r="L236" s="13" t="n">
        <f aca="false">IF(F236=C236,1,0)</f>
        <v>1</v>
      </c>
    </row>
    <row r="237" customFormat="false" ht="15.75" hidden="false" customHeight="false" outlineLevel="0" collapsed="false">
      <c r="A237" s="3" t="n">
        <v>236</v>
      </c>
      <c r="B237" s="3" t="s">
        <v>440</v>
      </c>
      <c r="C237" s="3" t="s">
        <v>105</v>
      </c>
      <c r="D237" s="3" t="s">
        <v>61</v>
      </c>
      <c r="E237" s="3" t="s">
        <v>61</v>
      </c>
      <c r="F237" s="3" t="s">
        <v>105</v>
      </c>
      <c r="G237" s="3" t="s">
        <v>61</v>
      </c>
      <c r="H237" s="3" t="n">
        <v>0.967</v>
      </c>
      <c r="I237" s="13" t="n">
        <f aca="false">IF(G237=E237,1,0)</f>
        <v>1</v>
      </c>
      <c r="K237" s="13" t="n">
        <f aca="false">IF(G237=E237,1,0)</f>
        <v>1</v>
      </c>
      <c r="L237" s="13" t="n">
        <f aca="false">IF(F237=C237,1,0)</f>
        <v>1</v>
      </c>
    </row>
    <row r="238" customFormat="false" ht="15.75" hidden="false" customHeight="false" outlineLevel="0" collapsed="false">
      <c r="A238" s="3" t="n">
        <v>237</v>
      </c>
      <c r="B238" s="3" t="s">
        <v>441</v>
      </c>
      <c r="C238" s="3" t="s">
        <v>143</v>
      </c>
      <c r="D238" s="3" t="s">
        <v>198</v>
      </c>
      <c r="E238" s="3" t="s">
        <v>67</v>
      </c>
      <c r="F238" s="3" t="s">
        <v>143</v>
      </c>
      <c r="G238" s="3" t="s">
        <v>67</v>
      </c>
      <c r="H238" s="3" t="n">
        <v>0.967</v>
      </c>
      <c r="I238" s="13" t="n">
        <f aca="false">IF(G238=E238,1,0)</f>
        <v>1</v>
      </c>
      <c r="K238" s="13" t="n">
        <f aca="false">IF(G238=E238,1,0)</f>
        <v>1</v>
      </c>
      <c r="L238" s="13" t="n">
        <f aca="false">IF(F238=C238,1,0)</f>
        <v>1</v>
      </c>
    </row>
    <row r="239" customFormat="false" ht="15.75" hidden="false" customHeight="false" outlineLevel="0" collapsed="false">
      <c r="A239" s="3" t="n">
        <v>238</v>
      </c>
      <c r="B239" s="3" t="s">
        <v>442</v>
      </c>
      <c r="C239" s="3" t="s">
        <v>105</v>
      </c>
      <c r="D239" s="3" t="s">
        <v>61</v>
      </c>
      <c r="E239" s="3" t="s">
        <v>61</v>
      </c>
      <c r="F239" s="3" t="s">
        <v>105</v>
      </c>
      <c r="G239" s="3" t="s">
        <v>61</v>
      </c>
      <c r="H239" s="3" t="n">
        <v>0.965</v>
      </c>
      <c r="I239" s="13" t="n">
        <f aca="false">IF(G239=E239,1,0)</f>
        <v>1</v>
      </c>
      <c r="K239" s="13" t="n">
        <f aca="false">IF(G239=E239,1,0)</f>
        <v>1</v>
      </c>
      <c r="L239" s="13" t="n">
        <f aca="false">IF(F239=C239,1,0)</f>
        <v>1</v>
      </c>
    </row>
    <row r="240" customFormat="false" ht="15.75" hidden="false" customHeight="false" outlineLevel="0" collapsed="false">
      <c r="A240" s="3" t="n">
        <v>239</v>
      </c>
      <c r="B240" s="3" t="s">
        <v>443</v>
      </c>
      <c r="C240" s="3" t="s">
        <v>105</v>
      </c>
      <c r="D240" s="3" t="s">
        <v>77</v>
      </c>
      <c r="E240" s="3" t="s">
        <v>77</v>
      </c>
      <c r="F240" s="3" t="s">
        <v>133</v>
      </c>
      <c r="G240" s="3" t="s">
        <v>65</v>
      </c>
      <c r="H240" s="3" t="n">
        <v>0.965</v>
      </c>
      <c r="I240" s="13" t="n">
        <f aca="false">IF(G240=E240,1,0)</f>
        <v>0</v>
      </c>
      <c r="K240" s="13" t="n">
        <f aca="false">IF(G240=E240,1,0)</f>
        <v>0</v>
      </c>
      <c r="L240" s="13" t="n">
        <f aca="false">IF(F240=C240,1,0)</f>
        <v>0</v>
      </c>
    </row>
    <row r="241" customFormat="false" ht="15.75" hidden="false" customHeight="false" outlineLevel="0" collapsed="false">
      <c r="A241" s="3" t="n">
        <v>240</v>
      </c>
      <c r="B241" s="3" t="s">
        <v>444</v>
      </c>
      <c r="C241" s="3" t="s">
        <v>105</v>
      </c>
      <c r="D241" s="3" t="s">
        <v>61</v>
      </c>
      <c r="E241" s="3" t="s">
        <v>61</v>
      </c>
      <c r="F241" s="3" t="s">
        <v>150</v>
      </c>
      <c r="G241" s="3" t="s">
        <v>75</v>
      </c>
      <c r="H241" s="3" t="n">
        <v>0.965</v>
      </c>
      <c r="I241" s="13" t="n">
        <f aca="false">IF(G241=E241,1,0)</f>
        <v>0</v>
      </c>
      <c r="K241" s="13" t="n">
        <f aca="false">IF(G241=E241,1,0)</f>
        <v>0</v>
      </c>
      <c r="L241" s="13" t="n">
        <f aca="false">IF(F241=C241,1,0)</f>
        <v>0</v>
      </c>
    </row>
    <row r="242" customFormat="false" ht="15.75" hidden="false" customHeight="false" outlineLevel="0" collapsed="false">
      <c r="A242" s="3" t="n">
        <v>241</v>
      </c>
      <c r="B242" s="3" t="s">
        <v>445</v>
      </c>
      <c r="C242" s="3" t="s">
        <v>105</v>
      </c>
      <c r="D242" s="3" t="s">
        <v>61</v>
      </c>
      <c r="E242" s="3" t="s">
        <v>61</v>
      </c>
      <c r="F242" s="3" t="s">
        <v>105</v>
      </c>
      <c r="G242" s="3" t="s">
        <v>61</v>
      </c>
      <c r="H242" s="3" t="n">
        <v>0.964</v>
      </c>
      <c r="I242" s="13" t="n">
        <f aca="false">IF(G242=E242,1,0)</f>
        <v>1</v>
      </c>
      <c r="K242" s="13" t="n">
        <f aca="false">IF(G242=E242,1,0)</f>
        <v>1</v>
      </c>
      <c r="L242" s="13" t="n">
        <f aca="false">IF(F242=C242,1,0)</f>
        <v>1</v>
      </c>
    </row>
    <row r="243" customFormat="false" ht="15.75" hidden="false" customHeight="false" outlineLevel="0" collapsed="false">
      <c r="A243" s="3" t="n">
        <v>242</v>
      </c>
      <c r="B243" s="3" t="s">
        <v>446</v>
      </c>
      <c r="C243" s="3" t="s">
        <v>143</v>
      </c>
      <c r="D243" s="3" t="s">
        <v>198</v>
      </c>
      <c r="E243" s="3" t="s">
        <v>67</v>
      </c>
      <c r="F243" s="3" t="s">
        <v>143</v>
      </c>
      <c r="G243" s="3" t="s">
        <v>67</v>
      </c>
      <c r="H243" s="3" t="n">
        <v>0.963</v>
      </c>
      <c r="I243" s="13" t="n">
        <f aca="false">IF(G243=E243,1,0)</f>
        <v>1</v>
      </c>
      <c r="K243" s="13" t="n">
        <f aca="false">IF(G243=E243,1,0)</f>
        <v>1</v>
      </c>
      <c r="L243" s="13" t="n">
        <f aca="false">IF(F243=C243,1,0)</f>
        <v>1</v>
      </c>
    </row>
    <row r="244" customFormat="false" ht="15.75" hidden="false" customHeight="false" outlineLevel="0" collapsed="false">
      <c r="A244" s="3" t="n">
        <v>243</v>
      </c>
      <c r="B244" s="3" t="s">
        <v>447</v>
      </c>
      <c r="C244" s="3" t="s">
        <v>143</v>
      </c>
      <c r="D244" s="3" t="s">
        <v>288</v>
      </c>
      <c r="E244" s="3" t="s">
        <v>288</v>
      </c>
      <c r="F244" s="3" t="s">
        <v>105</v>
      </c>
      <c r="G244" s="3" t="s">
        <v>55</v>
      </c>
      <c r="H244" s="3" t="n">
        <v>0.962</v>
      </c>
      <c r="I244" s="13" t="n">
        <f aca="false">IF(G244=E244,1,0)</f>
        <v>0</v>
      </c>
      <c r="J244" s="3" t="s">
        <v>257</v>
      </c>
    </row>
    <row r="245" customFormat="false" ht="15.75" hidden="false" customHeight="false" outlineLevel="0" collapsed="false">
      <c r="A245" s="3" t="n">
        <v>244</v>
      </c>
      <c r="B245" s="3" t="s">
        <v>448</v>
      </c>
      <c r="C245" s="3" t="s">
        <v>105</v>
      </c>
      <c r="D245" s="3" t="s">
        <v>77</v>
      </c>
      <c r="E245" s="3" t="s">
        <v>77</v>
      </c>
      <c r="F245" s="3" t="s">
        <v>150</v>
      </c>
      <c r="G245" s="3" t="s">
        <v>83</v>
      </c>
      <c r="H245" s="3" t="n">
        <v>0.962</v>
      </c>
      <c r="I245" s="13" t="n">
        <f aca="false">IF(G245=E245,1,0)</f>
        <v>0</v>
      </c>
      <c r="K245" s="13" t="n">
        <f aca="false">IF(G245=E245,1,0)</f>
        <v>0</v>
      </c>
      <c r="L245" s="13" t="n">
        <f aca="false">IF(F245=C245,1,0)</f>
        <v>0</v>
      </c>
    </row>
    <row r="246" customFormat="false" ht="15.75" hidden="false" customHeight="false" outlineLevel="0" collapsed="false">
      <c r="A246" s="3" t="n">
        <v>245</v>
      </c>
      <c r="B246" s="3" t="s">
        <v>449</v>
      </c>
      <c r="C246" s="3" t="s">
        <v>105</v>
      </c>
      <c r="D246" s="3" t="s">
        <v>61</v>
      </c>
      <c r="E246" s="3" t="s">
        <v>61</v>
      </c>
      <c r="F246" s="3" t="s">
        <v>150</v>
      </c>
      <c r="G246" s="3" t="s">
        <v>63</v>
      </c>
      <c r="H246" s="3" t="n">
        <v>0.962</v>
      </c>
      <c r="I246" s="13" t="n">
        <f aca="false">IF(G246=E246,1,0)</f>
        <v>0</v>
      </c>
      <c r="K246" s="13" t="n">
        <f aca="false">IF(G246=E246,1,0)</f>
        <v>0</v>
      </c>
      <c r="L246" s="13" t="n">
        <f aca="false">IF(F246=C246,1,0)</f>
        <v>0</v>
      </c>
    </row>
    <row r="247" customFormat="false" ht="15.75" hidden="false" customHeight="false" outlineLevel="0" collapsed="false">
      <c r="A247" s="3" t="n">
        <v>246</v>
      </c>
      <c r="B247" s="3" t="s">
        <v>450</v>
      </c>
      <c r="C247" s="3" t="s">
        <v>105</v>
      </c>
      <c r="D247" s="3" t="s">
        <v>77</v>
      </c>
      <c r="E247" s="3" t="s">
        <v>77</v>
      </c>
      <c r="F247" s="3" t="s">
        <v>105</v>
      </c>
      <c r="G247" s="3" t="s">
        <v>77</v>
      </c>
      <c r="H247" s="3" t="n">
        <v>0.961</v>
      </c>
      <c r="I247" s="13" t="n">
        <f aca="false">IF(G247=E247,1,0)</f>
        <v>1</v>
      </c>
      <c r="K247" s="13" t="n">
        <f aca="false">IF(G247=E247,1,0)</f>
        <v>1</v>
      </c>
      <c r="L247" s="13" t="n">
        <f aca="false">IF(F247=C247,1,0)</f>
        <v>1</v>
      </c>
    </row>
    <row r="248" customFormat="false" ht="15.75" hidden="false" customHeight="false" outlineLevel="0" collapsed="false">
      <c r="A248" s="3" t="n">
        <v>247</v>
      </c>
      <c r="B248" s="3" t="s">
        <v>451</v>
      </c>
      <c r="C248" s="3" t="s">
        <v>105</v>
      </c>
      <c r="D248" s="3" t="s">
        <v>61</v>
      </c>
      <c r="E248" s="3" t="s">
        <v>61</v>
      </c>
      <c r="F248" s="3" t="s">
        <v>150</v>
      </c>
      <c r="G248" s="3" t="s">
        <v>63</v>
      </c>
      <c r="H248" s="3" t="n">
        <v>0.961</v>
      </c>
      <c r="I248" s="13" t="n">
        <f aca="false">IF(G248=E248,1,0)</f>
        <v>0</v>
      </c>
      <c r="K248" s="13" t="n">
        <f aca="false">IF(G248=E248,1,0)</f>
        <v>0</v>
      </c>
      <c r="L248" s="13" t="n">
        <f aca="false">IF(F248=C248,1,0)</f>
        <v>0</v>
      </c>
    </row>
    <row r="249" customFormat="false" ht="15.75" hidden="false" customHeight="false" outlineLevel="0" collapsed="false">
      <c r="A249" s="3" t="n">
        <v>248</v>
      </c>
      <c r="B249" s="3" t="s">
        <v>452</v>
      </c>
      <c r="C249" s="3" t="s">
        <v>105</v>
      </c>
      <c r="D249" s="3" t="s">
        <v>61</v>
      </c>
      <c r="E249" s="3" t="s">
        <v>61</v>
      </c>
      <c r="F249" s="3" t="s">
        <v>105</v>
      </c>
      <c r="G249" s="3" t="s">
        <v>61</v>
      </c>
      <c r="H249" s="3" t="n">
        <v>0.96</v>
      </c>
      <c r="I249" s="13" t="n">
        <f aca="false">IF(G249=E249,1,0)</f>
        <v>1</v>
      </c>
      <c r="K249" s="13" t="n">
        <f aca="false">IF(G249=E249,1,0)</f>
        <v>1</v>
      </c>
      <c r="L249" s="13" t="n">
        <f aca="false">IF(F249=C249,1,0)</f>
        <v>1</v>
      </c>
    </row>
    <row r="250" customFormat="false" ht="15.75" hidden="false" customHeight="false" outlineLevel="0" collapsed="false">
      <c r="A250" s="3" t="n">
        <v>249</v>
      </c>
      <c r="B250" s="3" t="s">
        <v>453</v>
      </c>
      <c r="C250" s="3" t="s">
        <v>150</v>
      </c>
      <c r="D250" s="3" t="s">
        <v>245</v>
      </c>
      <c r="E250" s="3" t="s">
        <v>83</v>
      </c>
      <c r="F250" s="3" t="s">
        <v>150</v>
      </c>
      <c r="G250" s="3" t="s">
        <v>83</v>
      </c>
      <c r="H250" s="3" t="n">
        <v>0.96</v>
      </c>
      <c r="I250" s="13" t="n">
        <f aca="false">IF(G250=E250,1,0)</f>
        <v>1</v>
      </c>
      <c r="K250" s="13" t="n">
        <f aca="false">IF(G250=E250,1,0)</f>
        <v>1</v>
      </c>
      <c r="L250" s="13" t="n">
        <f aca="false">IF(F250=C250,1,0)</f>
        <v>1</v>
      </c>
    </row>
    <row r="251" customFormat="false" ht="15.75" hidden="false" customHeight="false" outlineLevel="0" collapsed="false">
      <c r="A251" s="3" t="n">
        <v>250</v>
      </c>
      <c r="B251" s="3" t="s">
        <v>454</v>
      </c>
      <c r="C251" s="3" t="s">
        <v>105</v>
      </c>
      <c r="D251" s="3" t="s">
        <v>61</v>
      </c>
      <c r="E251" s="3" t="s">
        <v>61</v>
      </c>
      <c r="F251" s="3" t="s">
        <v>105</v>
      </c>
      <c r="G251" s="3" t="s">
        <v>61</v>
      </c>
      <c r="H251" s="3" t="n">
        <v>0.96</v>
      </c>
      <c r="I251" s="13" t="n">
        <f aca="false">IF(G251=E251,1,0)</f>
        <v>1</v>
      </c>
      <c r="K251" s="13" t="n">
        <f aca="false">IF(G251=E251,1,0)</f>
        <v>1</v>
      </c>
      <c r="L251" s="13" t="n">
        <f aca="false">IF(F251=C251,1,0)</f>
        <v>1</v>
      </c>
    </row>
    <row r="252" customFormat="false" ht="15.75" hidden="false" customHeight="false" outlineLevel="0" collapsed="false">
      <c r="A252" s="3" t="n">
        <v>251</v>
      </c>
      <c r="B252" s="3" t="s">
        <v>455</v>
      </c>
      <c r="C252" s="3" t="s">
        <v>105</v>
      </c>
      <c r="D252" s="3" t="s">
        <v>77</v>
      </c>
      <c r="E252" s="3" t="s">
        <v>77</v>
      </c>
      <c r="F252" s="3" t="s">
        <v>105</v>
      </c>
      <c r="G252" s="3" t="s">
        <v>77</v>
      </c>
      <c r="H252" s="3" t="n">
        <v>0.959</v>
      </c>
      <c r="I252" s="13" t="n">
        <f aca="false">IF(G252=E252,1,0)</f>
        <v>1</v>
      </c>
      <c r="K252" s="13" t="n">
        <f aca="false">IF(G252=E252,1,0)</f>
        <v>1</v>
      </c>
      <c r="L252" s="13" t="n">
        <f aca="false">IF(F252=C252,1,0)</f>
        <v>1</v>
      </c>
    </row>
    <row r="253" customFormat="false" ht="15.75" hidden="false" customHeight="false" outlineLevel="0" collapsed="false">
      <c r="A253" s="3" t="n">
        <v>252</v>
      </c>
      <c r="B253" s="3" t="s">
        <v>456</v>
      </c>
      <c r="C253" s="3" t="s">
        <v>105</v>
      </c>
      <c r="D253" s="3" t="s">
        <v>61</v>
      </c>
      <c r="E253" s="3" t="s">
        <v>61</v>
      </c>
      <c r="F253" s="3" t="s">
        <v>105</v>
      </c>
      <c r="G253" s="3" t="s">
        <v>61</v>
      </c>
      <c r="H253" s="3" t="n">
        <v>0.959</v>
      </c>
      <c r="I253" s="13" t="n">
        <f aca="false">IF(G253=E253,1,0)</f>
        <v>1</v>
      </c>
      <c r="K253" s="13" t="n">
        <f aca="false">IF(G253=E253,1,0)</f>
        <v>1</v>
      </c>
      <c r="L253" s="13" t="n">
        <f aca="false">IF(F253=C253,1,0)</f>
        <v>1</v>
      </c>
    </row>
    <row r="254" customFormat="false" ht="15.75" hidden="false" customHeight="false" outlineLevel="0" collapsed="false">
      <c r="A254" s="3" t="n">
        <v>253</v>
      </c>
      <c r="B254" s="3" t="s">
        <v>457</v>
      </c>
      <c r="C254" s="3" t="s">
        <v>143</v>
      </c>
      <c r="D254" s="3" t="s">
        <v>198</v>
      </c>
      <c r="E254" s="3" t="s">
        <v>67</v>
      </c>
      <c r="F254" s="3" t="s">
        <v>143</v>
      </c>
      <c r="G254" s="3" t="s">
        <v>67</v>
      </c>
      <c r="H254" s="3" t="n">
        <v>0.958</v>
      </c>
      <c r="I254" s="13" t="n">
        <f aca="false">IF(G254=E254,1,0)</f>
        <v>1</v>
      </c>
      <c r="K254" s="13" t="n">
        <f aca="false">IF(G254=E254,1,0)</f>
        <v>1</v>
      </c>
      <c r="L254" s="13" t="n">
        <f aca="false">IF(F254=C254,1,0)</f>
        <v>1</v>
      </c>
    </row>
    <row r="255" customFormat="false" ht="15.75" hidden="false" customHeight="false" outlineLevel="0" collapsed="false">
      <c r="A255" s="3" t="n">
        <v>254</v>
      </c>
      <c r="B255" s="3" t="s">
        <v>458</v>
      </c>
      <c r="C255" s="3" t="s">
        <v>143</v>
      </c>
      <c r="D255" s="3" t="s">
        <v>198</v>
      </c>
      <c r="E255" s="3" t="s">
        <v>67</v>
      </c>
      <c r="F255" s="3" t="s">
        <v>143</v>
      </c>
      <c r="G255" s="3" t="s">
        <v>67</v>
      </c>
      <c r="H255" s="3" t="n">
        <v>0.958</v>
      </c>
      <c r="I255" s="13" t="n">
        <f aca="false">IF(G255=E255,1,0)</f>
        <v>1</v>
      </c>
      <c r="K255" s="13" t="n">
        <f aca="false">IF(G255=E255,1,0)</f>
        <v>1</v>
      </c>
      <c r="L255" s="13" t="n">
        <f aca="false">IF(F255=C255,1,0)</f>
        <v>1</v>
      </c>
    </row>
    <row r="256" customFormat="false" ht="15.75" hidden="false" customHeight="false" outlineLevel="0" collapsed="false">
      <c r="A256" s="3" t="n">
        <v>255</v>
      </c>
      <c r="B256" s="3" t="s">
        <v>459</v>
      </c>
      <c r="C256" s="3" t="s">
        <v>105</v>
      </c>
      <c r="D256" s="3" t="s">
        <v>77</v>
      </c>
      <c r="E256" s="3" t="s">
        <v>77</v>
      </c>
      <c r="F256" s="3" t="s">
        <v>105</v>
      </c>
      <c r="G256" s="3" t="s">
        <v>77</v>
      </c>
      <c r="H256" s="3" t="n">
        <v>0.958</v>
      </c>
      <c r="I256" s="13" t="n">
        <f aca="false">IF(G256=E256,1,0)</f>
        <v>1</v>
      </c>
      <c r="K256" s="13" t="n">
        <f aca="false">IF(G256=E256,1,0)</f>
        <v>1</v>
      </c>
      <c r="L256" s="13" t="n">
        <f aca="false">IF(F256=C256,1,0)</f>
        <v>1</v>
      </c>
    </row>
    <row r="257" customFormat="false" ht="15.75" hidden="false" customHeight="false" outlineLevel="0" collapsed="false">
      <c r="A257" s="3" t="n">
        <v>256</v>
      </c>
      <c r="B257" s="3" t="s">
        <v>460</v>
      </c>
      <c r="C257" s="3" t="s">
        <v>143</v>
      </c>
      <c r="D257" s="3" t="s">
        <v>288</v>
      </c>
      <c r="E257" s="3" t="s">
        <v>288</v>
      </c>
      <c r="F257" s="3" t="s">
        <v>105</v>
      </c>
      <c r="G257" s="3" t="s">
        <v>61</v>
      </c>
      <c r="H257" s="3" t="n">
        <v>0.957</v>
      </c>
      <c r="I257" s="13" t="n">
        <f aca="false">IF(G257=E257,1,0)</f>
        <v>0</v>
      </c>
      <c r="J257" s="3" t="s">
        <v>257</v>
      </c>
    </row>
    <row r="258" customFormat="false" ht="15.75" hidden="false" customHeight="false" outlineLevel="0" collapsed="false">
      <c r="A258" s="3" t="n">
        <v>257</v>
      </c>
      <c r="B258" s="3" t="s">
        <v>461</v>
      </c>
      <c r="C258" s="3" t="s">
        <v>105</v>
      </c>
      <c r="D258" s="3" t="s">
        <v>61</v>
      </c>
      <c r="E258" s="3" t="s">
        <v>61</v>
      </c>
      <c r="F258" s="3" t="s">
        <v>105</v>
      </c>
      <c r="G258" s="3" t="s">
        <v>61</v>
      </c>
      <c r="H258" s="3" t="n">
        <v>0.957</v>
      </c>
      <c r="I258" s="13" t="n">
        <f aca="false">IF(G258=E258,1,0)</f>
        <v>1</v>
      </c>
      <c r="K258" s="13" t="n">
        <f aca="false">IF(G258=E258,1,0)</f>
        <v>1</v>
      </c>
      <c r="L258" s="13" t="n">
        <f aca="false">IF(F258=C258,1,0)</f>
        <v>1</v>
      </c>
    </row>
    <row r="259" customFormat="false" ht="15.75" hidden="false" customHeight="false" outlineLevel="0" collapsed="false">
      <c r="A259" s="3" t="n">
        <v>258</v>
      </c>
      <c r="B259" s="3" t="s">
        <v>462</v>
      </c>
      <c r="C259" s="3" t="s">
        <v>105</v>
      </c>
      <c r="D259" s="3" t="s">
        <v>61</v>
      </c>
      <c r="E259" s="3" t="s">
        <v>61</v>
      </c>
      <c r="F259" s="3" t="s">
        <v>143</v>
      </c>
      <c r="G259" s="3" t="s">
        <v>69</v>
      </c>
      <c r="H259" s="3" t="n">
        <v>0.957</v>
      </c>
      <c r="I259" s="13" t="n">
        <f aca="false">IF(G259=E259,1,0)</f>
        <v>0</v>
      </c>
      <c r="K259" s="13" t="n">
        <f aca="false">IF(G259=E259,1,0)</f>
        <v>0</v>
      </c>
      <c r="L259" s="13" t="n">
        <f aca="false">IF(F259=C259,1,0)</f>
        <v>0</v>
      </c>
    </row>
    <row r="260" customFormat="false" ht="15.75" hidden="false" customHeight="false" outlineLevel="0" collapsed="false">
      <c r="A260" s="3" t="n">
        <v>259</v>
      </c>
      <c r="B260" s="3" t="s">
        <v>463</v>
      </c>
      <c r="C260" s="3" t="s">
        <v>105</v>
      </c>
      <c r="D260" s="3" t="s">
        <v>61</v>
      </c>
      <c r="E260" s="3" t="s">
        <v>61</v>
      </c>
      <c r="F260" s="3" t="s">
        <v>105</v>
      </c>
      <c r="G260" s="3" t="s">
        <v>61</v>
      </c>
      <c r="H260" s="3" t="n">
        <v>0.956</v>
      </c>
      <c r="I260" s="13" t="n">
        <f aca="false">IF(G260=E260,1,0)</f>
        <v>1</v>
      </c>
      <c r="K260" s="13" t="n">
        <f aca="false">IF(G260=E260,1,0)</f>
        <v>1</v>
      </c>
      <c r="L260" s="13" t="n">
        <f aca="false">IF(F260=C260,1,0)</f>
        <v>1</v>
      </c>
    </row>
    <row r="261" customFormat="false" ht="15.75" hidden="false" customHeight="false" outlineLevel="0" collapsed="false">
      <c r="A261" s="3" t="n">
        <v>260</v>
      </c>
      <c r="B261" s="3" t="s">
        <v>464</v>
      </c>
      <c r="C261" s="3" t="s">
        <v>105</v>
      </c>
      <c r="D261" s="3" t="s">
        <v>61</v>
      </c>
      <c r="E261" s="3" t="s">
        <v>61</v>
      </c>
      <c r="F261" s="3" t="s">
        <v>105</v>
      </c>
      <c r="G261" s="3" t="s">
        <v>61</v>
      </c>
      <c r="H261" s="3" t="n">
        <v>0.956</v>
      </c>
      <c r="I261" s="13" t="n">
        <f aca="false">IF(G261=E261,1,0)</f>
        <v>1</v>
      </c>
      <c r="K261" s="13" t="n">
        <f aca="false">IF(G261=E261,1,0)</f>
        <v>1</v>
      </c>
      <c r="L261" s="13" t="n">
        <f aca="false">IF(F261=C261,1,0)</f>
        <v>1</v>
      </c>
    </row>
    <row r="262" customFormat="false" ht="15.75" hidden="false" customHeight="false" outlineLevel="0" collapsed="false">
      <c r="A262" s="3" t="n">
        <v>261</v>
      </c>
      <c r="B262" s="3" t="s">
        <v>465</v>
      </c>
      <c r="C262" s="3" t="s">
        <v>105</v>
      </c>
      <c r="D262" s="3" t="s">
        <v>61</v>
      </c>
      <c r="E262" s="3" t="s">
        <v>61</v>
      </c>
      <c r="F262" s="3" t="s">
        <v>143</v>
      </c>
      <c r="G262" s="3" t="s">
        <v>79</v>
      </c>
      <c r="H262" s="3" t="n">
        <v>0.956</v>
      </c>
      <c r="I262" s="13" t="n">
        <f aca="false">IF(G262=E262,1,0)</f>
        <v>0</v>
      </c>
      <c r="K262" s="13" t="n">
        <f aca="false">IF(G262=E262,1,0)</f>
        <v>0</v>
      </c>
      <c r="L262" s="13" t="n">
        <f aca="false">IF(F262=C262,1,0)</f>
        <v>0</v>
      </c>
    </row>
    <row r="263" customFormat="false" ht="15.75" hidden="false" customHeight="false" outlineLevel="0" collapsed="false">
      <c r="A263" s="3" t="n">
        <v>262</v>
      </c>
      <c r="B263" s="3" t="s">
        <v>466</v>
      </c>
      <c r="C263" s="3" t="s">
        <v>143</v>
      </c>
      <c r="D263" s="3" t="s">
        <v>198</v>
      </c>
      <c r="E263" s="3" t="s">
        <v>67</v>
      </c>
      <c r="F263" s="3" t="s">
        <v>143</v>
      </c>
      <c r="G263" s="3" t="s">
        <v>79</v>
      </c>
      <c r="H263" s="3" t="n">
        <v>0.955</v>
      </c>
      <c r="I263" s="13" t="n">
        <f aca="false">IF(G263=E263,1,0)</f>
        <v>0</v>
      </c>
      <c r="K263" s="13" t="n">
        <f aca="false">IF(G263=E263,1,0)</f>
        <v>0</v>
      </c>
      <c r="L263" s="13" t="n">
        <f aca="false">IF(F263=C263,1,0)</f>
        <v>1</v>
      </c>
    </row>
    <row r="264" customFormat="false" ht="15.75" hidden="false" customHeight="false" outlineLevel="0" collapsed="false">
      <c r="A264" s="3" t="n">
        <v>263</v>
      </c>
      <c r="B264" s="3" t="s">
        <v>467</v>
      </c>
      <c r="C264" s="3" t="s">
        <v>143</v>
      </c>
      <c r="D264" s="3" t="s">
        <v>198</v>
      </c>
      <c r="E264" s="3" t="s">
        <v>67</v>
      </c>
      <c r="F264" s="3" t="s">
        <v>105</v>
      </c>
      <c r="G264" s="3" t="s">
        <v>61</v>
      </c>
      <c r="H264" s="3" t="n">
        <v>0.955</v>
      </c>
      <c r="I264" s="13" t="n">
        <f aca="false">IF(G264=E264,1,0)</f>
        <v>0</v>
      </c>
      <c r="K264" s="13" t="n">
        <f aca="false">IF(G264=E264,1,0)</f>
        <v>0</v>
      </c>
      <c r="L264" s="13" t="n">
        <f aca="false">IF(F264=C264,1,0)</f>
        <v>0</v>
      </c>
    </row>
    <row r="265" customFormat="false" ht="15.75" hidden="false" customHeight="false" outlineLevel="0" collapsed="false">
      <c r="A265" s="3" t="n">
        <v>264</v>
      </c>
      <c r="B265" s="3" t="s">
        <v>468</v>
      </c>
      <c r="C265" s="3" t="s">
        <v>105</v>
      </c>
      <c r="D265" s="3" t="s">
        <v>61</v>
      </c>
      <c r="E265" s="3" t="s">
        <v>61</v>
      </c>
      <c r="F265" s="3" t="s">
        <v>105</v>
      </c>
      <c r="G265" s="3" t="s">
        <v>61</v>
      </c>
      <c r="H265" s="3" t="n">
        <v>0.955</v>
      </c>
      <c r="I265" s="13" t="n">
        <f aca="false">IF(G265=E265,1,0)</f>
        <v>1</v>
      </c>
      <c r="K265" s="13" t="n">
        <f aca="false">IF(G265=E265,1,0)</f>
        <v>1</v>
      </c>
      <c r="L265" s="13" t="n">
        <f aca="false">IF(F265=C265,1,0)</f>
        <v>1</v>
      </c>
    </row>
    <row r="266" customFormat="false" ht="15.75" hidden="false" customHeight="false" outlineLevel="0" collapsed="false">
      <c r="A266" s="3" t="n">
        <v>265</v>
      </c>
      <c r="B266" s="3" t="s">
        <v>469</v>
      </c>
      <c r="C266" s="3" t="s">
        <v>105</v>
      </c>
      <c r="D266" s="3" t="s">
        <v>61</v>
      </c>
      <c r="E266" s="3" t="s">
        <v>61</v>
      </c>
      <c r="F266" s="3" t="s">
        <v>150</v>
      </c>
      <c r="G266" s="3" t="s">
        <v>83</v>
      </c>
      <c r="H266" s="3" t="n">
        <v>0.954</v>
      </c>
      <c r="I266" s="13" t="n">
        <f aca="false">IF(G266=E266,1,0)</f>
        <v>0</v>
      </c>
      <c r="K266" s="13" t="n">
        <f aca="false">IF(G266=E266,1,0)</f>
        <v>0</v>
      </c>
      <c r="L266" s="13" t="n">
        <f aca="false">IF(F266=C266,1,0)</f>
        <v>0</v>
      </c>
    </row>
    <row r="267" customFormat="false" ht="15.75" hidden="false" customHeight="false" outlineLevel="0" collapsed="false">
      <c r="A267" s="3" t="n">
        <v>266</v>
      </c>
      <c r="B267" s="3" t="s">
        <v>470</v>
      </c>
      <c r="C267" s="3" t="s">
        <v>105</v>
      </c>
      <c r="D267" s="3" t="s">
        <v>61</v>
      </c>
      <c r="E267" s="3" t="s">
        <v>61</v>
      </c>
      <c r="F267" s="3" t="s">
        <v>150</v>
      </c>
      <c r="G267" s="3" t="s">
        <v>83</v>
      </c>
      <c r="H267" s="3" t="n">
        <v>0.951</v>
      </c>
      <c r="I267" s="13" t="n">
        <f aca="false">IF(G267=E267,1,0)</f>
        <v>0</v>
      </c>
      <c r="K267" s="13" t="n">
        <f aca="false">IF(G267=E267,1,0)</f>
        <v>0</v>
      </c>
      <c r="L267" s="13" t="n">
        <f aca="false">IF(F267=C267,1,0)</f>
        <v>0</v>
      </c>
    </row>
    <row r="268" customFormat="false" ht="15.75" hidden="false" customHeight="false" outlineLevel="0" collapsed="false">
      <c r="A268" s="3" t="n">
        <v>267</v>
      </c>
      <c r="B268" s="3" t="s">
        <v>471</v>
      </c>
      <c r="C268" s="3" t="s">
        <v>105</v>
      </c>
      <c r="D268" s="3" t="s">
        <v>61</v>
      </c>
      <c r="E268" s="3" t="s">
        <v>61</v>
      </c>
      <c r="F268" s="3" t="s">
        <v>105</v>
      </c>
      <c r="G268" s="3" t="s">
        <v>61</v>
      </c>
      <c r="H268" s="3" t="n">
        <v>0.949</v>
      </c>
      <c r="I268" s="13" t="n">
        <f aca="false">IF(G268=E268,1,0)</f>
        <v>1</v>
      </c>
      <c r="K268" s="13" t="n">
        <f aca="false">IF(G268=E268,1,0)</f>
        <v>1</v>
      </c>
      <c r="L268" s="13" t="n">
        <f aca="false">IF(F268=C268,1,0)</f>
        <v>1</v>
      </c>
    </row>
    <row r="269" customFormat="false" ht="15.75" hidden="false" customHeight="false" outlineLevel="0" collapsed="false">
      <c r="A269" s="3" t="n">
        <v>268</v>
      </c>
      <c r="B269" s="3" t="s">
        <v>472</v>
      </c>
      <c r="C269" s="3" t="s">
        <v>143</v>
      </c>
      <c r="D269" s="3" t="s">
        <v>198</v>
      </c>
      <c r="E269" s="3" t="s">
        <v>67</v>
      </c>
      <c r="F269" s="3" t="s">
        <v>143</v>
      </c>
      <c r="G269" s="3" t="s">
        <v>69</v>
      </c>
      <c r="H269" s="3" t="n">
        <v>0.947</v>
      </c>
      <c r="I269" s="13" t="n">
        <f aca="false">IF(G269=E269,1,0)</f>
        <v>0</v>
      </c>
      <c r="K269" s="13" t="n">
        <f aca="false">IF(G269=E269,1,0)</f>
        <v>0</v>
      </c>
      <c r="L269" s="13" t="n">
        <f aca="false">IF(F269=C269,1,0)</f>
        <v>1</v>
      </c>
    </row>
    <row r="270" customFormat="false" ht="15.75" hidden="false" customHeight="false" outlineLevel="0" collapsed="false">
      <c r="A270" s="3" t="n">
        <v>269</v>
      </c>
      <c r="B270" s="3" t="s">
        <v>473</v>
      </c>
      <c r="C270" s="3" t="s">
        <v>105</v>
      </c>
      <c r="D270" s="3" t="s">
        <v>61</v>
      </c>
      <c r="E270" s="3" t="s">
        <v>61</v>
      </c>
      <c r="F270" s="3" t="s">
        <v>105</v>
      </c>
      <c r="G270" s="3" t="s">
        <v>61</v>
      </c>
      <c r="H270" s="3" t="n">
        <v>0.943</v>
      </c>
      <c r="I270" s="13" t="n">
        <f aca="false">IF(G270=E270,1,0)</f>
        <v>1</v>
      </c>
      <c r="K270" s="13" t="n">
        <f aca="false">IF(G270=E270,1,0)</f>
        <v>1</v>
      </c>
      <c r="L270" s="13" t="n">
        <f aca="false">IF(F270=C270,1,0)</f>
        <v>1</v>
      </c>
    </row>
    <row r="271" customFormat="false" ht="15.75" hidden="false" customHeight="false" outlineLevel="0" collapsed="false">
      <c r="A271" s="3" t="n">
        <v>270</v>
      </c>
      <c r="B271" s="3" t="s">
        <v>474</v>
      </c>
      <c r="C271" s="3" t="s">
        <v>105</v>
      </c>
      <c r="D271" s="3" t="s">
        <v>61</v>
      </c>
      <c r="E271" s="3" t="s">
        <v>61</v>
      </c>
      <c r="F271" s="3" t="s">
        <v>143</v>
      </c>
      <c r="G271" s="3" t="s">
        <v>67</v>
      </c>
      <c r="H271" s="3" t="n">
        <v>0.943</v>
      </c>
      <c r="I271" s="13" t="n">
        <f aca="false">IF(G271=E271,1,0)</f>
        <v>0</v>
      </c>
      <c r="K271" s="13" t="n">
        <f aca="false">IF(G271=E271,1,0)</f>
        <v>0</v>
      </c>
      <c r="L271" s="13" t="n">
        <f aca="false">IF(F271=C271,1,0)</f>
        <v>0</v>
      </c>
    </row>
    <row r="272" customFormat="false" ht="15.75" hidden="false" customHeight="false" outlineLevel="0" collapsed="false">
      <c r="A272" s="3" t="n">
        <v>271</v>
      </c>
      <c r="B272" s="3" t="s">
        <v>475</v>
      </c>
      <c r="C272" s="3" t="s">
        <v>105</v>
      </c>
      <c r="D272" s="3" t="s">
        <v>61</v>
      </c>
      <c r="E272" s="3" t="s">
        <v>61</v>
      </c>
      <c r="F272" s="3" t="s">
        <v>150</v>
      </c>
      <c r="G272" s="3" t="s">
        <v>83</v>
      </c>
      <c r="H272" s="3" t="n">
        <v>0.943</v>
      </c>
      <c r="I272" s="13" t="n">
        <f aca="false">IF(G272=E272,1,0)</f>
        <v>0</v>
      </c>
      <c r="K272" s="13" t="n">
        <f aca="false">IF(G272=E272,1,0)</f>
        <v>0</v>
      </c>
      <c r="L272" s="13" t="n">
        <f aca="false">IF(F272=C272,1,0)</f>
        <v>0</v>
      </c>
    </row>
    <row r="273" customFormat="false" ht="15.75" hidden="false" customHeight="false" outlineLevel="0" collapsed="false">
      <c r="A273" s="3" t="n">
        <v>272</v>
      </c>
      <c r="B273" s="3" t="s">
        <v>476</v>
      </c>
      <c r="C273" s="3" t="s">
        <v>105</v>
      </c>
      <c r="D273" s="3" t="s">
        <v>61</v>
      </c>
      <c r="E273" s="3" t="s">
        <v>61</v>
      </c>
      <c r="F273" s="3" t="s">
        <v>105</v>
      </c>
      <c r="G273" s="3" t="s">
        <v>61</v>
      </c>
      <c r="H273" s="3" t="n">
        <v>0.937</v>
      </c>
      <c r="I273" s="13" t="n">
        <f aca="false">IF(G273=E273,1,0)</f>
        <v>1</v>
      </c>
      <c r="K273" s="13" t="n">
        <f aca="false">IF(G273=E273,1,0)</f>
        <v>1</v>
      </c>
      <c r="L273" s="13" t="n">
        <f aca="false">IF(F273=C273,1,0)</f>
        <v>1</v>
      </c>
    </row>
    <row r="274" customFormat="false" ht="15.75" hidden="false" customHeight="false" outlineLevel="0" collapsed="false">
      <c r="A274" s="3" t="n">
        <v>273</v>
      </c>
      <c r="B274" s="3" t="s">
        <v>477</v>
      </c>
      <c r="C274" s="3" t="s">
        <v>105</v>
      </c>
      <c r="D274" s="3" t="s">
        <v>61</v>
      </c>
      <c r="E274" s="3" t="s">
        <v>61</v>
      </c>
      <c r="F274" s="3" t="s">
        <v>105</v>
      </c>
      <c r="G274" s="3" t="s">
        <v>61</v>
      </c>
      <c r="H274" s="3" t="n">
        <v>0.935</v>
      </c>
      <c r="I274" s="13" t="n">
        <f aca="false">IF(G274=E274,1,0)</f>
        <v>1</v>
      </c>
      <c r="K274" s="13" t="n">
        <f aca="false">IF(G274=E274,1,0)</f>
        <v>1</v>
      </c>
      <c r="L274" s="13" t="n">
        <f aca="false">IF(F274=C274,1,0)</f>
        <v>1</v>
      </c>
    </row>
    <row r="275" customFormat="false" ht="15.75" hidden="false" customHeight="false" outlineLevel="0" collapsed="false">
      <c r="A275" s="3" t="n">
        <v>274</v>
      </c>
      <c r="B275" s="3" t="s">
        <v>478</v>
      </c>
      <c r="C275" s="3" t="s">
        <v>105</v>
      </c>
      <c r="D275" s="3" t="s">
        <v>61</v>
      </c>
      <c r="E275" s="3" t="s">
        <v>61</v>
      </c>
      <c r="F275" s="3" t="s">
        <v>105</v>
      </c>
      <c r="G275" s="3" t="s">
        <v>61</v>
      </c>
      <c r="H275" s="3" t="n">
        <v>0.935</v>
      </c>
      <c r="I275" s="13" t="n">
        <f aca="false">IF(G275=E275,1,0)</f>
        <v>1</v>
      </c>
      <c r="K275" s="13" t="n">
        <f aca="false">IF(G275=E275,1,0)</f>
        <v>1</v>
      </c>
      <c r="L275" s="13" t="n">
        <f aca="false">IF(F275=C275,1,0)</f>
        <v>1</v>
      </c>
    </row>
    <row r="276" customFormat="false" ht="15.75" hidden="false" customHeight="false" outlineLevel="0" collapsed="false">
      <c r="A276" s="3" t="n">
        <v>275</v>
      </c>
      <c r="B276" s="3" t="s">
        <v>479</v>
      </c>
      <c r="C276" s="3" t="s">
        <v>143</v>
      </c>
      <c r="D276" s="3" t="s">
        <v>288</v>
      </c>
      <c r="E276" s="3" t="s">
        <v>288</v>
      </c>
      <c r="F276" s="3" t="s">
        <v>105</v>
      </c>
      <c r="G276" s="3" t="s">
        <v>55</v>
      </c>
      <c r="H276" s="3" t="n">
        <v>0.935</v>
      </c>
      <c r="I276" s="13" t="n">
        <f aca="false">IF(G276=E276,1,0)</f>
        <v>0</v>
      </c>
      <c r="J276" s="3" t="s">
        <v>257</v>
      </c>
    </row>
    <row r="277" customFormat="false" ht="15.75" hidden="false" customHeight="false" outlineLevel="0" collapsed="false">
      <c r="A277" s="3" t="n">
        <v>276</v>
      </c>
      <c r="B277" s="3" t="s">
        <v>480</v>
      </c>
      <c r="C277" s="3" t="s">
        <v>143</v>
      </c>
      <c r="D277" s="3" t="s">
        <v>288</v>
      </c>
      <c r="E277" s="3" t="s">
        <v>288</v>
      </c>
      <c r="F277" s="3" t="s">
        <v>143</v>
      </c>
      <c r="G277" s="3" t="s">
        <v>79</v>
      </c>
      <c r="H277" s="3" t="n">
        <v>0.932</v>
      </c>
      <c r="I277" s="13" t="n">
        <f aca="false">IF(G277=E277,1,0)</f>
        <v>0</v>
      </c>
      <c r="J277" s="3" t="s">
        <v>257</v>
      </c>
    </row>
    <row r="278" customFormat="false" ht="15.75" hidden="false" customHeight="false" outlineLevel="0" collapsed="false">
      <c r="A278" s="3" t="n">
        <v>277</v>
      </c>
      <c r="B278" s="3" t="s">
        <v>481</v>
      </c>
      <c r="C278" s="3" t="s">
        <v>143</v>
      </c>
      <c r="D278" s="3" t="s">
        <v>198</v>
      </c>
      <c r="E278" s="3" t="s">
        <v>67</v>
      </c>
      <c r="F278" s="3" t="s">
        <v>482</v>
      </c>
      <c r="G278" s="3" t="s">
        <v>81</v>
      </c>
      <c r="H278" s="3" t="n">
        <v>0.932</v>
      </c>
      <c r="I278" s="13" t="n">
        <f aca="false">IF(G278=E278,1,0)</f>
        <v>0</v>
      </c>
      <c r="K278" s="13" t="n">
        <f aca="false">IF(G278=E278,1,0)</f>
        <v>0</v>
      </c>
      <c r="L278" s="13" t="n">
        <f aca="false">IF(F278=C278,1,0)</f>
        <v>0</v>
      </c>
    </row>
    <row r="279" customFormat="false" ht="15.75" hidden="false" customHeight="false" outlineLevel="0" collapsed="false">
      <c r="A279" s="3" t="n">
        <v>278</v>
      </c>
      <c r="B279" s="3" t="s">
        <v>483</v>
      </c>
      <c r="C279" s="3" t="s">
        <v>105</v>
      </c>
      <c r="D279" s="3" t="s">
        <v>77</v>
      </c>
      <c r="E279" s="3" t="s">
        <v>77</v>
      </c>
      <c r="F279" s="3" t="s">
        <v>105</v>
      </c>
      <c r="G279" s="3" t="s">
        <v>77</v>
      </c>
      <c r="H279" s="3" t="n">
        <v>0.932</v>
      </c>
      <c r="I279" s="13" t="n">
        <f aca="false">IF(G279=E279,1,0)</f>
        <v>1</v>
      </c>
      <c r="K279" s="13" t="n">
        <f aca="false">IF(G279=E279,1,0)</f>
        <v>1</v>
      </c>
      <c r="L279" s="13" t="n">
        <f aca="false">IF(F279=C279,1,0)</f>
        <v>1</v>
      </c>
    </row>
    <row r="280" customFormat="false" ht="15.75" hidden="false" customHeight="false" outlineLevel="0" collapsed="false">
      <c r="A280" s="3" t="n">
        <v>279</v>
      </c>
      <c r="B280" s="3" t="s">
        <v>484</v>
      </c>
      <c r="C280" s="3" t="s">
        <v>105</v>
      </c>
      <c r="D280" s="3" t="s">
        <v>61</v>
      </c>
      <c r="E280" s="3" t="s">
        <v>61</v>
      </c>
      <c r="F280" s="3" t="s">
        <v>105</v>
      </c>
      <c r="G280" s="3" t="s">
        <v>61</v>
      </c>
      <c r="H280" s="3" t="n">
        <v>0.931</v>
      </c>
      <c r="I280" s="13" t="n">
        <f aca="false">IF(G280=E280,1,0)</f>
        <v>1</v>
      </c>
      <c r="K280" s="13" t="n">
        <f aca="false">IF(G280=E280,1,0)</f>
        <v>1</v>
      </c>
      <c r="L280" s="13" t="n">
        <f aca="false">IF(F280=C280,1,0)</f>
        <v>1</v>
      </c>
    </row>
    <row r="281" customFormat="false" ht="15.75" hidden="false" customHeight="false" outlineLevel="0" collapsed="false">
      <c r="A281" s="3" t="n">
        <v>280</v>
      </c>
      <c r="B281" s="3" t="s">
        <v>485</v>
      </c>
      <c r="C281" s="3" t="s">
        <v>105</v>
      </c>
      <c r="D281" s="3" t="s">
        <v>77</v>
      </c>
      <c r="E281" s="3" t="s">
        <v>77</v>
      </c>
      <c r="F281" s="3" t="s">
        <v>105</v>
      </c>
      <c r="G281" s="3" t="s">
        <v>77</v>
      </c>
      <c r="H281" s="3" t="n">
        <v>0.931</v>
      </c>
      <c r="I281" s="13" t="n">
        <f aca="false">IF(G281=E281,1,0)</f>
        <v>1</v>
      </c>
      <c r="K281" s="13" t="n">
        <f aca="false">IF(G281=E281,1,0)</f>
        <v>1</v>
      </c>
      <c r="L281" s="13" t="n">
        <f aca="false">IF(F281=C281,1,0)</f>
        <v>1</v>
      </c>
    </row>
    <row r="282" customFormat="false" ht="15.75" hidden="false" customHeight="false" outlineLevel="0" collapsed="false">
      <c r="A282" s="3" t="n">
        <v>281</v>
      </c>
      <c r="B282" s="3" t="s">
        <v>486</v>
      </c>
      <c r="C282" s="3" t="s">
        <v>105</v>
      </c>
      <c r="D282" s="3" t="s">
        <v>77</v>
      </c>
      <c r="E282" s="3" t="s">
        <v>77</v>
      </c>
      <c r="F282" s="3" t="s">
        <v>105</v>
      </c>
      <c r="G282" s="3" t="s">
        <v>77</v>
      </c>
      <c r="H282" s="3" t="n">
        <v>0.931</v>
      </c>
      <c r="I282" s="13" t="n">
        <f aca="false">IF(G282=E282,1,0)</f>
        <v>1</v>
      </c>
      <c r="K282" s="13" t="n">
        <f aca="false">IF(G282=E282,1,0)</f>
        <v>1</v>
      </c>
      <c r="L282" s="13" t="n">
        <f aca="false">IF(F282=C282,1,0)</f>
        <v>1</v>
      </c>
    </row>
    <row r="283" customFormat="false" ht="15.75" hidden="false" customHeight="false" outlineLevel="0" collapsed="false">
      <c r="A283" s="3" t="n">
        <v>282</v>
      </c>
      <c r="B283" s="3" t="s">
        <v>487</v>
      </c>
      <c r="C283" s="3" t="s">
        <v>105</v>
      </c>
      <c r="D283" s="3" t="s">
        <v>61</v>
      </c>
      <c r="E283" s="3" t="s">
        <v>61</v>
      </c>
      <c r="F283" s="3" t="s">
        <v>105</v>
      </c>
      <c r="G283" s="3" t="s">
        <v>61</v>
      </c>
      <c r="H283" s="3" t="n">
        <v>0.93</v>
      </c>
      <c r="I283" s="13" t="n">
        <f aca="false">IF(G283=E283,1,0)</f>
        <v>1</v>
      </c>
      <c r="K283" s="13" t="n">
        <f aca="false">IF(G283=E283,1,0)</f>
        <v>1</v>
      </c>
      <c r="L283" s="13" t="n">
        <f aca="false">IF(F283=C283,1,0)</f>
        <v>1</v>
      </c>
    </row>
    <row r="284" customFormat="false" ht="15.75" hidden="false" customHeight="false" outlineLevel="0" collapsed="false">
      <c r="A284" s="3" t="n">
        <v>283</v>
      </c>
      <c r="B284" s="3" t="s">
        <v>488</v>
      </c>
      <c r="C284" s="3" t="s">
        <v>105</v>
      </c>
      <c r="D284" s="3" t="s">
        <v>77</v>
      </c>
      <c r="E284" s="3" t="s">
        <v>77</v>
      </c>
      <c r="F284" s="3" t="s">
        <v>105</v>
      </c>
      <c r="G284" s="3" t="s">
        <v>77</v>
      </c>
      <c r="H284" s="3" t="n">
        <v>0.928</v>
      </c>
      <c r="I284" s="13" t="n">
        <f aca="false">IF(G284=E284,1,0)</f>
        <v>1</v>
      </c>
      <c r="K284" s="13" t="n">
        <f aca="false">IF(G284=E284,1,0)</f>
        <v>1</v>
      </c>
      <c r="L284" s="13" t="n">
        <f aca="false">IF(F284=C284,1,0)</f>
        <v>1</v>
      </c>
    </row>
    <row r="285" customFormat="false" ht="15.75" hidden="false" customHeight="false" outlineLevel="0" collapsed="false">
      <c r="A285" s="3" t="n">
        <v>284</v>
      </c>
      <c r="B285" s="3" t="s">
        <v>489</v>
      </c>
      <c r="C285" s="3" t="s">
        <v>150</v>
      </c>
      <c r="D285" s="3" t="s">
        <v>245</v>
      </c>
      <c r="E285" s="3" t="s">
        <v>83</v>
      </c>
      <c r="F285" s="3" t="s">
        <v>150</v>
      </c>
      <c r="G285" s="3" t="s">
        <v>83</v>
      </c>
      <c r="H285" s="3" t="n">
        <v>0.927</v>
      </c>
      <c r="I285" s="13" t="n">
        <f aca="false">IF(G285=E285,1,0)</f>
        <v>1</v>
      </c>
      <c r="K285" s="13" t="n">
        <f aca="false">IF(G285=E285,1,0)</f>
        <v>1</v>
      </c>
      <c r="L285" s="13" t="n">
        <f aca="false">IF(F285=C285,1,0)</f>
        <v>1</v>
      </c>
    </row>
    <row r="286" customFormat="false" ht="15.75" hidden="false" customHeight="false" outlineLevel="0" collapsed="false">
      <c r="A286" s="3" t="n">
        <v>285</v>
      </c>
      <c r="B286" s="3" t="s">
        <v>490</v>
      </c>
      <c r="C286" s="3" t="s">
        <v>105</v>
      </c>
      <c r="D286" s="3" t="s">
        <v>61</v>
      </c>
      <c r="E286" s="3" t="s">
        <v>61</v>
      </c>
      <c r="F286" s="3" t="s">
        <v>105</v>
      </c>
      <c r="G286" s="3" t="s">
        <v>61</v>
      </c>
      <c r="H286" s="3" t="n">
        <v>0.922</v>
      </c>
      <c r="I286" s="13" t="n">
        <f aca="false">IF(G286=E286,1,0)</f>
        <v>1</v>
      </c>
      <c r="K286" s="13" t="n">
        <f aca="false">IF(G286=E286,1,0)</f>
        <v>1</v>
      </c>
      <c r="L286" s="13" t="n">
        <f aca="false">IF(F286=C286,1,0)</f>
        <v>1</v>
      </c>
    </row>
    <row r="287" customFormat="false" ht="15.75" hidden="false" customHeight="false" outlineLevel="0" collapsed="false">
      <c r="A287" s="3" t="n">
        <v>286</v>
      </c>
      <c r="B287" s="3" t="s">
        <v>491</v>
      </c>
      <c r="C287" s="3" t="s">
        <v>105</v>
      </c>
      <c r="D287" s="3" t="s">
        <v>55</v>
      </c>
      <c r="E287" s="3" t="s">
        <v>55</v>
      </c>
      <c r="F287" s="3" t="s">
        <v>133</v>
      </c>
      <c r="G287" s="3" t="s">
        <v>65</v>
      </c>
      <c r="H287" s="3" t="n">
        <v>0.92</v>
      </c>
      <c r="I287" s="13" t="n">
        <f aca="false">IF(G287=E287,1,0)</f>
        <v>0</v>
      </c>
      <c r="K287" s="13" t="n">
        <f aca="false">IF(G287=E287,1,0)</f>
        <v>0</v>
      </c>
      <c r="L287" s="13" t="n">
        <f aca="false">IF(F287=C287,1,0)</f>
        <v>0</v>
      </c>
    </row>
    <row r="288" customFormat="false" ht="15.75" hidden="false" customHeight="false" outlineLevel="0" collapsed="false">
      <c r="A288" s="3" t="n">
        <v>287</v>
      </c>
      <c r="B288" s="3" t="s">
        <v>492</v>
      </c>
      <c r="C288" s="3" t="s">
        <v>105</v>
      </c>
      <c r="D288" s="3" t="s">
        <v>55</v>
      </c>
      <c r="E288" s="3" t="s">
        <v>55</v>
      </c>
      <c r="F288" s="3" t="s">
        <v>105</v>
      </c>
      <c r="G288" s="3" t="s">
        <v>77</v>
      </c>
      <c r="H288" s="3" t="n">
        <v>0.919</v>
      </c>
      <c r="I288" s="13" t="n">
        <f aca="false">IF(G288=E288,1,0)</f>
        <v>0</v>
      </c>
      <c r="K288" s="13" t="n">
        <f aca="false">IF(G288=E288,1,0)</f>
        <v>0</v>
      </c>
      <c r="L288" s="13" t="n">
        <f aca="false">IF(F288=C288,1,0)</f>
        <v>1</v>
      </c>
    </row>
    <row r="289" customFormat="false" ht="15.75" hidden="false" customHeight="false" outlineLevel="0" collapsed="false">
      <c r="A289" s="3" t="n">
        <v>288</v>
      </c>
      <c r="B289" s="3" t="s">
        <v>493</v>
      </c>
      <c r="C289" s="3" t="s">
        <v>143</v>
      </c>
      <c r="D289" s="3" t="s">
        <v>198</v>
      </c>
      <c r="E289" s="3" t="s">
        <v>67</v>
      </c>
      <c r="F289" s="3" t="s">
        <v>143</v>
      </c>
      <c r="G289" s="3" t="s">
        <v>67</v>
      </c>
      <c r="H289" s="3" t="n">
        <v>0.916</v>
      </c>
      <c r="I289" s="13" t="n">
        <f aca="false">IF(G289=E289,1,0)</f>
        <v>1</v>
      </c>
      <c r="K289" s="13" t="n">
        <f aca="false">IF(G289=E289,1,0)</f>
        <v>1</v>
      </c>
      <c r="L289" s="13" t="n">
        <f aca="false">IF(F289=C289,1,0)</f>
        <v>1</v>
      </c>
    </row>
    <row r="290" customFormat="false" ht="15.75" hidden="false" customHeight="false" outlineLevel="0" collapsed="false">
      <c r="A290" s="3" t="n">
        <v>289</v>
      </c>
      <c r="B290" s="3" t="s">
        <v>494</v>
      </c>
      <c r="C290" s="3" t="s">
        <v>105</v>
      </c>
      <c r="D290" s="3" t="s">
        <v>61</v>
      </c>
      <c r="E290" s="3" t="s">
        <v>61</v>
      </c>
      <c r="F290" s="3" t="s">
        <v>143</v>
      </c>
      <c r="G290" s="3" t="s">
        <v>67</v>
      </c>
      <c r="H290" s="3" t="n">
        <v>0.914</v>
      </c>
      <c r="I290" s="13" t="n">
        <f aca="false">IF(G290=E290,1,0)</f>
        <v>0</v>
      </c>
      <c r="K290" s="13" t="n">
        <f aca="false">IF(G290=E290,1,0)</f>
        <v>0</v>
      </c>
      <c r="L290" s="13" t="n">
        <f aca="false">IF(F290=C290,1,0)</f>
        <v>0</v>
      </c>
    </row>
    <row r="291" customFormat="false" ht="15.75" hidden="false" customHeight="false" outlineLevel="0" collapsed="false">
      <c r="A291" s="3" t="n">
        <v>290</v>
      </c>
      <c r="B291" s="3" t="s">
        <v>495</v>
      </c>
      <c r="C291" s="3" t="s">
        <v>143</v>
      </c>
      <c r="D291" s="3" t="s">
        <v>198</v>
      </c>
      <c r="E291" s="3" t="s">
        <v>67</v>
      </c>
      <c r="F291" s="3" t="s">
        <v>143</v>
      </c>
      <c r="G291" s="3" t="s">
        <v>67</v>
      </c>
      <c r="H291" s="3" t="n">
        <v>0.914</v>
      </c>
      <c r="I291" s="13" t="n">
        <f aca="false">IF(G291=E291,1,0)</f>
        <v>1</v>
      </c>
      <c r="K291" s="13" t="n">
        <f aca="false">IF(G291=E291,1,0)</f>
        <v>1</v>
      </c>
      <c r="L291" s="13" t="n">
        <f aca="false">IF(F291=C291,1,0)</f>
        <v>1</v>
      </c>
    </row>
    <row r="292" customFormat="false" ht="15.75" hidden="false" customHeight="false" outlineLevel="0" collapsed="false">
      <c r="A292" s="3" t="n">
        <v>291</v>
      </c>
      <c r="B292" s="3" t="s">
        <v>496</v>
      </c>
      <c r="C292" s="3" t="s">
        <v>105</v>
      </c>
      <c r="D292" s="3" t="s">
        <v>55</v>
      </c>
      <c r="E292" s="3" t="s">
        <v>55</v>
      </c>
      <c r="F292" s="3" t="s">
        <v>150</v>
      </c>
      <c r="G292" s="3" t="s">
        <v>83</v>
      </c>
      <c r="H292" s="3" t="n">
        <v>0.913</v>
      </c>
      <c r="I292" s="13" t="n">
        <f aca="false">IF(G292=E292,1,0)</f>
        <v>0</v>
      </c>
      <c r="K292" s="13" t="n">
        <f aca="false">IF(G292=E292,1,0)</f>
        <v>0</v>
      </c>
      <c r="L292" s="13" t="n">
        <f aca="false">IF(F292=C292,1,0)</f>
        <v>0</v>
      </c>
    </row>
    <row r="293" customFormat="false" ht="15.75" hidden="false" customHeight="false" outlineLevel="0" collapsed="false">
      <c r="A293" s="3" t="n">
        <v>292</v>
      </c>
      <c r="B293" s="3" t="s">
        <v>497</v>
      </c>
      <c r="C293" s="3" t="s">
        <v>105</v>
      </c>
      <c r="D293" s="3" t="s">
        <v>61</v>
      </c>
      <c r="E293" s="3" t="s">
        <v>61</v>
      </c>
      <c r="F293" s="3" t="s">
        <v>105</v>
      </c>
      <c r="G293" s="3" t="s">
        <v>61</v>
      </c>
      <c r="H293" s="3" t="n">
        <v>0.911</v>
      </c>
      <c r="I293" s="13" t="n">
        <f aca="false">IF(G293=E293,1,0)</f>
        <v>1</v>
      </c>
      <c r="K293" s="13" t="n">
        <f aca="false">IF(G293=E293,1,0)</f>
        <v>1</v>
      </c>
      <c r="L293" s="13" t="n">
        <f aca="false">IF(F293=C293,1,0)</f>
        <v>1</v>
      </c>
    </row>
    <row r="294" customFormat="false" ht="15.75" hidden="false" customHeight="false" outlineLevel="0" collapsed="false">
      <c r="A294" s="3" t="n">
        <v>293</v>
      </c>
      <c r="B294" s="3" t="s">
        <v>498</v>
      </c>
      <c r="C294" s="3" t="s">
        <v>105</v>
      </c>
      <c r="D294" s="3" t="s">
        <v>61</v>
      </c>
      <c r="E294" s="3" t="s">
        <v>61</v>
      </c>
      <c r="F294" s="3" t="s">
        <v>143</v>
      </c>
      <c r="G294" s="3" t="s">
        <v>69</v>
      </c>
      <c r="H294" s="3" t="n">
        <v>0.909</v>
      </c>
      <c r="I294" s="13" t="n">
        <f aca="false">IF(G294=E294,1,0)</f>
        <v>0</v>
      </c>
      <c r="K294" s="13" t="n">
        <f aca="false">IF(G294=E294,1,0)</f>
        <v>0</v>
      </c>
      <c r="L294" s="13" t="n">
        <f aca="false">IF(F294=C294,1,0)</f>
        <v>0</v>
      </c>
    </row>
    <row r="295" customFormat="false" ht="15.75" hidden="false" customHeight="false" outlineLevel="0" collapsed="false">
      <c r="A295" s="3" t="n">
        <v>294</v>
      </c>
      <c r="B295" s="3" t="s">
        <v>499</v>
      </c>
      <c r="C295" s="3" t="s">
        <v>105</v>
      </c>
      <c r="D295" s="3" t="s">
        <v>61</v>
      </c>
      <c r="E295" s="3" t="s">
        <v>61</v>
      </c>
      <c r="F295" s="3" t="s">
        <v>105</v>
      </c>
      <c r="G295" s="3" t="s">
        <v>77</v>
      </c>
      <c r="H295" s="3" t="n">
        <v>0.908</v>
      </c>
      <c r="I295" s="13" t="n">
        <f aca="false">IF(G295=E295,1,0)</f>
        <v>0</v>
      </c>
      <c r="K295" s="13" t="n">
        <f aca="false">IF(G295=E295,1,0)</f>
        <v>0</v>
      </c>
      <c r="L295" s="13" t="n">
        <f aca="false">IF(F295=C295,1,0)</f>
        <v>1</v>
      </c>
    </row>
    <row r="296" customFormat="false" ht="15.75" hidden="false" customHeight="false" outlineLevel="0" collapsed="false">
      <c r="A296" s="3" t="n">
        <v>295</v>
      </c>
      <c r="B296" s="3" t="s">
        <v>500</v>
      </c>
      <c r="C296" s="3" t="s">
        <v>105</v>
      </c>
      <c r="D296" s="3" t="s">
        <v>77</v>
      </c>
      <c r="E296" s="3" t="s">
        <v>77</v>
      </c>
      <c r="F296" s="3" t="s">
        <v>150</v>
      </c>
      <c r="G296" s="3" t="s">
        <v>83</v>
      </c>
      <c r="H296" s="3" t="n">
        <v>0.906</v>
      </c>
      <c r="I296" s="13" t="n">
        <f aca="false">IF(G296=E296,1,0)</f>
        <v>0</v>
      </c>
      <c r="K296" s="13" t="n">
        <f aca="false">IF(G296=E296,1,0)</f>
        <v>0</v>
      </c>
      <c r="L296" s="13" t="n">
        <f aca="false">IF(F296=C296,1,0)</f>
        <v>0</v>
      </c>
    </row>
    <row r="297" customFormat="false" ht="15.75" hidden="false" customHeight="false" outlineLevel="0" collapsed="false">
      <c r="A297" s="3" t="n">
        <v>296</v>
      </c>
      <c r="B297" s="3" t="s">
        <v>501</v>
      </c>
      <c r="C297" s="3" t="s">
        <v>105</v>
      </c>
      <c r="D297" s="3" t="s">
        <v>61</v>
      </c>
      <c r="E297" s="3" t="s">
        <v>61</v>
      </c>
      <c r="F297" s="3" t="s">
        <v>143</v>
      </c>
      <c r="G297" s="3" t="s">
        <v>69</v>
      </c>
      <c r="H297" s="3" t="n">
        <v>0.906</v>
      </c>
      <c r="I297" s="13" t="n">
        <f aca="false">IF(G297=E297,1,0)</f>
        <v>0</v>
      </c>
      <c r="K297" s="13" t="n">
        <f aca="false">IF(G297=E297,1,0)</f>
        <v>0</v>
      </c>
      <c r="L297" s="13" t="n">
        <f aca="false">IF(F297=C297,1,0)</f>
        <v>0</v>
      </c>
    </row>
    <row r="298" customFormat="false" ht="15.75" hidden="false" customHeight="false" outlineLevel="0" collapsed="false">
      <c r="A298" s="3" t="n">
        <v>297</v>
      </c>
      <c r="B298" s="3" t="s">
        <v>148</v>
      </c>
      <c r="C298" s="3" t="s">
        <v>105</v>
      </c>
      <c r="D298" s="3" t="s">
        <v>61</v>
      </c>
      <c r="E298" s="3" t="s">
        <v>61</v>
      </c>
      <c r="F298" s="3" t="s">
        <v>105</v>
      </c>
      <c r="G298" s="3" t="s">
        <v>61</v>
      </c>
      <c r="H298" s="3" t="n">
        <v>0.905</v>
      </c>
      <c r="I298" s="13" t="n">
        <f aca="false">IF(G298=E298,1,0)</f>
        <v>1</v>
      </c>
      <c r="K298" s="13" t="n">
        <f aca="false">IF(G298=E298,1,0)</f>
        <v>1</v>
      </c>
      <c r="L298" s="13" t="n">
        <f aca="false">IF(F298=C298,1,0)</f>
        <v>1</v>
      </c>
    </row>
    <row r="299" customFormat="false" ht="15.75" hidden="false" customHeight="false" outlineLevel="0" collapsed="false">
      <c r="A299" s="3" t="n">
        <v>298</v>
      </c>
      <c r="B299" s="3" t="s">
        <v>502</v>
      </c>
      <c r="C299" s="3" t="s">
        <v>105</v>
      </c>
      <c r="D299" s="3" t="s">
        <v>61</v>
      </c>
      <c r="E299" s="3" t="s">
        <v>61</v>
      </c>
      <c r="F299" s="3" t="s">
        <v>105</v>
      </c>
      <c r="G299" s="3" t="s">
        <v>55</v>
      </c>
      <c r="H299" s="3" t="n">
        <v>0.904</v>
      </c>
      <c r="I299" s="13" t="n">
        <f aca="false">IF(G299=E299,1,0)</f>
        <v>0</v>
      </c>
      <c r="K299" s="13" t="n">
        <f aca="false">IF(G299=E299,1,0)</f>
        <v>0</v>
      </c>
      <c r="L299" s="13" t="n">
        <f aca="false">IF(F299=C299,1,0)</f>
        <v>1</v>
      </c>
    </row>
    <row r="300" customFormat="false" ht="15.75" hidden="false" customHeight="false" outlineLevel="0" collapsed="false">
      <c r="A300" s="3" t="n">
        <v>299</v>
      </c>
      <c r="B300" s="3" t="s">
        <v>503</v>
      </c>
      <c r="C300" s="3" t="s">
        <v>143</v>
      </c>
      <c r="D300" s="3" t="s">
        <v>198</v>
      </c>
      <c r="E300" s="3" t="s">
        <v>67</v>
      </c>
      <c r="F300" s="3" t="s">
        <v>133</v>
      </c>
      <c r="G300" s="3" t="s">
        <v>65</v>
      </c>
      <c r="H300" s="3" t="n">
        <v>0.902</v>
      </c>
      <c r="I300" s="13" t="n">
        <f aca="false">IF(G300=E300,1,0)</f>
        <v>0</v>
      </c>
      <c r="K300" s="13" t="n">
        <f aca="false">IF(G300=E300,1,0)</f>
        <v>0</v>
      </c>
      <c r="L300" s="13" t="n">
        <f aca="false">IF(F300=C300,1,0)</f>
        <v>0</v>
      </c>
    </row>
    <row r="301" customFormat="false" ht="15.75" hidden="false" customHeight="false" outlineLevel="0" collapsed="false">
      <c r="A301" s="3" t="n">
        <v>300</v>
      </c>
      <c r="B301" s="3" t="s">
        <v>504</v>
      </c>
      <c r="C301" s="3" t="s">
        <v>143</v>
      </c>
      <c r="D301" s="3" t="s">
        <v>351</v>
      </c>
      <c r="E301" s="3" t="s">
        <v>351</v>
      </c>
      <c r="F301" s="3" t="s">
        <v>143</v>
      </c>
      <c r="G301" s="3" t="s">
        <v>79</v>
      </c>
      <c r="H301" s="3" t="n">
        <v>0.902</v>
      </c>
      <c r="I301" s="13" t="n">
        <f aca="false">IF(G301=E301,1,0)</f>
        <v>0</v>
      </c>
      <c r="J301" s="3" t="s">
        <v>257</v>
      </c>
    </row>
    <row r="302" customFormat="false" ht="15.75" hidden="false" customHeight="false" outlineLevel="0" collapsed="false">
      <c r="A302" s="3" t="n">
        <v>301</v>
      </c>
      <c r="B302" s="3" t="s">
        <v>505</v>
      </c>
      <c r="C302" s="3" t="s">
        <v>105</v>
      </c>
      <c r="D302" s="3" t="s">
        <v>61</v>
      </c>
      <c r="E302" s="3" t="s">
        <v>61</v>
      </c>
      <c r="F302" s="3" t="s">
        <v>143</v>
      </c>
      <c r="G302" s="3" t="s">
        <v>67</v>
      </c>
      <c r="H302" s="3" t="n">
        <v>0.901</v>
      </c>
      <c r="I302" s="13" t="n">
        <f aca="false">IF(G302=E302,1,0)</f>
        <v>0</v>
      </c>
      <c r="K302" s="13" t="n">
        <f aca="false">IF(G302=E302,1,0)</f>
        <v>0</v>
      </c>
      <c r="L302" s="13" t="n">
        <f aca="false">IF(F302=C302,1,0)</f>
        <v>0</v>
      </c>
    </row>
    <row r="303" customFormat="false" ht="15.75" hidden="false" customHeight="false" outlineLevel="0" collapsed="false">
      <c r="A303" s="3" t="n">
        <v>302</v>
      </c>
      <c r="B303" s="3" t="s">
        <v>506</v>
      </c>
      <c r="C303" s="3" t="s">
        <v>105</v>
      </c>
      <c r="D303" s="3" t="s">
        <v>61</v>
      </c>
      <c r="E303" s="3" t="s">
        <v>61</v>
      </c>
      <c r="F303" s="3" t="s">
        <v>105</v>
      </c>
      <c r="G303" s="3" t="s">
        <v>61</v>
      </c>
      <c r="H303" s="3" t="n">
        <v>0.898</v>
      </c>
      <c r="I303" s="13" t="n">
        <f aca="false">IF(G303=E303,1,0)</f>
        <v>1</v>
      </c>
      <c r="K303" s="13" t="n">
        <f aca="false">IF(G303=E303,1,0)</f>
        <v>1</v>
      </c>
      <c r="L303" s="13" t="n">
        <f aca="false">IF(F303=C303,1,0)</f>
        <v>1</v>
      </c>
    </row>
    <row r="304" customFormat="false" ht="15.75" hidden="false" customHeight="false" outlineLevel="0" collapsed="false">
      <c r="A304" s="3" t="n">
        <v>303</v>
      </c>
      <c r="B304" s="3" t="s">
        <v>507</v>
      </c>
      <c r="C304" s="3" t="s">
        <v>105</v>
      </c>
      <c r="D304" s="3" t="s">
        <v>61</v>
      </c>
      <c r="E304" s="3" t="s">
        <v>61</v>
      </c>
      <c r="F304" s="3" t="s">
        <v>143</v>
      </c>
      <c r="G304" s="3" t="s">
        <v>79</v>
      </c>
      <c r="H304" s="3" t="n">
        <v>0.896</v>
      </c>
      <c r="I304" s="13" t="n">
        <f aca="false">IF(G304=E304,1,0)</f>
        <v>0</v>
      </c>
      <c r="K304" s="13" t="n">
        <f aca="false">IF(G304=E304,1,0)</f>
        <v>0</v>
      </c>
      <c r="L304" s="13" t="n">
        <f aca="false">IF(F304=C304,1,0)</f>
        <v>0</v>
      </c>
    </row>
    <row r="305" customFormat="false" ht="15.75" hidden="false" customHeight="false" outlineLevel="0" collapsed="false">
      <c r="A305" s="3" t="n">
        <v>304</v>
      </c>
      <c r="B305" s="3" t="s">
        <v>508</v>
      </c>
      <c r="C305" s="3" t="s">
        <v>105</v>
      </c>
      <c r="D305" s="3" t="s">
        <v>77</v>
      </c>
      <c r="E305" s="3" t="s">
        <v>77</v>
      </c>
      <c r="F305" s="3" t="s">
        <v>143</v>
      </c>
      <c r="G305" s="3" t="s">
        <v>69</v>
      </c>
      <c r="H305" s="3" t="n">
        <v>0.895</v>
      </c>
      <c r="I305" s="13" t="n">
        <f aca="false">IF(G305=E305,1,0)</f>
        <v>0</v>
      </c>
      <c r="K305" s="13" t="n">
        <f aca="false">IF(G305=E305,1,0)</f>
        <v>0</v>
      </c>
      <c r="L305" s="13" t="n">
        <f aca="false">IF(F305=C305,1,0)</f>
        <v>0</v>
      </c>
    </row>
    <row r="306" customFormat="false" ht="15.75" hidden="false" customHeight="false" outlineLevel="0" collapsed="false">
      <c r="A306" s="3" t="n">
        <v>305</v>
      </c>
      <c r="B306" s="3" t="s">
        <v>509</v>
      </c>
      <c r="C306" s="3" t="s">
        <v>143</v>
      </c>
      <c r="D306" s="3" t="s">
        <v>256</v>
      </c>
      <c r="E306" s="3" t="s">
        <v>256</v>
      </c>
      <c r="F306" s="3" t="s">
        <v>143</v>
      </c>
      <c r="G306" s="3" t="s">
        <v>67</v>
      </c>
      <c r="H306" s="3" t="n">
        <v>0.894</v>
      </c>
      <c r="I306" s="13" t="n">
        <f aca="false">IF(G306=E306,1,0)</f>
        <v>0</v>
      </c>
      <c r="J306" s="3" t="s">
        <v>257</v>
      </c>
    </row>
    <row r="307" customFormat="false" ht="15.75" hidden="false" customHeight="false" outlineLevel="0" collapsed="false">
      <c r="A307" s="3" t="n">
        <v>306</v>
      </c>
      <c r="B307" s="3" t="s">
        <v>510</v>
      </c>
      <c r="C307" s="3" t="s">
        <v>105</v>
      </c>
      <c r="D307" s="3" t="s">
        <v>61</v>
      </c>
      <c r="E307" s="3" t="s">
        <v>61</v>
      </c>
      <c r="F307" s="3" t="s">
        <v>150</v>
      </c>
      <c r="G307" s="3" t="s">
        <v>63</v>
      </c>
      <c r="H307" s="3" t="n">
        <v>0.892</v>
      </c>
      <c r="I307" s="13" t="n">
        <f aca="false">IF(G307=E307,1,0)</f>
        <v>0</v>
      </c>
      <c r="K307" s="13" t="n">
        <f aca="false">IF(G307=E307,1,0)</f>
        <v>0</v>
      </c>
      <c r="L307" s="13" t="n">
        <f aca="false">IF(F307=C307,1,0)</f>
        <v>0</v>
      </c>
    </row>
    <row r="308" customFormat="false" ht="15.75" hidden="false" customHeight="false" outlineLevel="0" collapsed="false">
      <c r="A308" s="3" t="n">
        <v>307</v>
      </c>
      <c r="B308" s="3" t="s">
        <v>511</v>
      </c>
      <c r="C308" s="3" t="s">
        <v>105</v>
      </c>
      <c r="D308" s="3" t="s">
        <v>61</v>
      </c>
      <c r="E308" s="3" t="s">
        <v>61</v>
      </c>
      <c r="F308" s="3" t="s">
        <v>105</v>
      </c>
      <c r="G308" s="3" t="s">
        <v>61</v>
      </c>
      <c r="H308" s="3" t="n">
        <v>0.892</v>
      </c>
      <c r="I308" s="13" t="n">
        <f aca="false">IF(G308=E308,1,0)</f>
        <v>1</v>
      </c>
      <c r="K308" s="13" t="n">
        <f aca="false">IF(G308=E308,1,0)</f>
        <v>1</v>
      </c>
      <c r="L308" s="13" t="n">
        <f aca="false">IF(F308=C308,1,0)</f>
        <v>1</v>
      </c>
    </row>
    <row r="309" customFormat="false" ht="15.75" hidden="false" customHeight="false" outlineLevel="0" collapsed="false">
      <c r="A309" s="3" t="n">
        <v>308</v>
      </c>
      <c r="B309" s="3" t="s">
        <v>512</v>
      </c>
      <c r="C309" s="3" t="s">
        <v>143</v>
      </c>
      <c r="D309" s="3" t="s">
        <v>198</v>
      </c>
      <c r="E309" s="3" t="s">
        <v>67</v>
      </c>
      <c r="F309" s="3" t="s">
        <v>143</v>
      </c>
      <c r="G309" s="3" t="s">
        <v>67</v>
      </c>
      <c r="H309" s="3" t="n">
        <v>0.887</v>
      </c>
      <c r="I309" s="13" t="n">
        <f aca="false">IF(G309=E309,1,0)</f>
        <v>1</v>
      </c>
      <c r="K309" s="13" t="n">
        <f aca="false">IF(G309=E309,1,0)</f>
        <v>1</v>
      </c>
      <c r="L309" s="13" t="n">
        <f aca="false">IF(F309=C309,1,0)</f>
        <v>1</v>
      </c>
    </row>
    <row r="310" customFormat="false" ht="15.75" hidden="false" customHeight="false" outlineLevel="0" collapsed="false">
      <c r="A310" s="3" t="n">
        <v>309</v>
      </c>
      <c r="B310" s="3" t="s">
        <v>513</v>
      </c>
      <c r="C310" s="3" t="s">
        <v>105</v>
      </c>
      <c r="D310" s="3" t="s">
        <v>77</v>
      </c>
      <c r="E310" s="3" t="s">
        <v>77</v>
      </c>
      <c r="F310" s="3" t="s">
        <v>105</v>
      </c>
      <c r="G310" s="3" t="s">
        <v>77</v>
      </c>
      <c r="H310" s="3" t="n">
        <v>0.885</v>
      </c>
      <c r="I310" s="13" t="n">
        <f aca="false">IF(G310=E310,1,0)</f>
        <v>1</v>
      </c>
      <c r="K310" s="13" t="n">
        <f aca="false">IF(G310=E310,1,0)</f>
        <v>1</v>
      </c>
      <c r="L310" s="13" t="n">
        <f aca="false">IF(F310=C310,1,0)</f>
        <v>1</v>
      </c>
    </row>
    <row r="311" customFormat="false" ht="15.75" hidden="false" customHeight="false" outlineLevel="0" collapsed="false">
      <c r="A311" s="3" t="n">
        <v>310</v>
      </c>
      <c r="B311" s="3" t="s">
        <v>514</v>
      </c>
      <c r="C311" s="3" t="s">
        <v>105</v>
      </c>
      <c r="D311" s="3" t="s">
        <v>77</v>
      </c>
      <c r="E311" s="3" t="s">
        <v>77</v>
      </c>
      <c r="F311" s="3" t="s">
        <v>105</v>
      </c>
      <c r="G311" s="3" t="s">
        <v>61</v>
      </c>
      <c r="H311" s="3" t="n">
        <v>0.883</v>
      </c>
      <c r="I311" s="13" t="n">
        <f aca="false">IF(G311=E311,1,0)</f>
        <v>0</v>
      </c>
      <c r="K311" s="13" t="n">
        <f aca="false">IF(G311=E311,1,0)</f>
        <v>0</v>
      </c>
      <c r="L311" s="13" t="n">
        <f aca="false">IF(F311=C311,1,0)</f>
        <v>1</v>
      </c>
    </row>
    <row r="312" customFormat="false" ht="15.75" hidden="false" customHeight="false" outlineLevel="0" collapsed="false">
      <c r="A312" s="3" t="n">
        <v>311</v>
      </c>
      <c r="B312" s="3" t="s">
        <v>515</v>
      </c>
      <c r="C312" s="3" t="s">
        <v>105</v>
      </c>
      <c r="D312" s="3" t="s">
        <v>61</v>
      </c>
      <c r="E312" s="3" t="s">
        <v>61</v>
      </c>
      <c r="F312" s="3" t="s">
        <v>105</v>
      </c>
      <c r="G312" s="3" t="s">
        <v>61</v>
      </c>
      <c r="H312" s="3" t="n">
        <v>0.882</v>
      </c>
      <c r="I312" s="13" t="n">
        <f aca="false">IF(G312=E312,1,0)</f>
        <v>1</v>
      </c>
      <c r="K312" s="13" t="n">
        <f aca="false">IF(G312=E312,1,0)</f>
        <v>1</v>
      </c>
      <c r="L312" s="13" t="n">
        <f aca="false">IF(F312=C312,1,0)</f>
        <v>1</v>
      </c>
    </row>
    <row r="313" customFormat="false" ht="15.75" hidden="false" customHeight="false" outlineLevel="0" collapsed="false">
      <c r="A313" s="3" t="n">
        <v>312</v>
      </c>
      <c r="B313" s="3" t="s">
        <v>516</v>
      </c>
      <c r="C313" s="3" t="s">
        <v>105</v>
      </c>
      <c r="D313" s="3" t="s">
        <v>61</v>
      </c>
      <c r="E313" s="3" t="s">
        <v>61</v>
      </c>
      <c r="F313" s="3" t="s">
        <v>105</v>
      </c>
      <c r="G313" s="3" t="s">
        <v>61</v>
      </c>
      <c r="H313" s="3" t="n">
        <v>0.879</v>
      </c>
      <c r="I313" s="13" t="n">
        <f aca="false">IF(G313=E313,1,0)</f>
        <v>1</v>
      </c>
      <c r="K313" s="13" t="n">
        <f aca="false">IF(G313=E313,1,0)</f>
        <v>1</v>
      </c>
      <c r="L313" s="13" t="n">
        <f aca="false">IF(F313=C313,1,0)</f>
        <v>1</v>
      </c>
    </row>
    <row r="314" customFormat="false" ht="15.75" hidden="false" customHeight="false" outlineLevel="0" collapsed="false">
      <c r="A314" s="3" t="n">
        <v>313</v>
      </c>
      <c r="B314" s="3" t="s">
        <v>517</v>
      </c>
      <c r="C314" s="3" t="s">
        <v>143</v>
      </c>
      <c r="D314" s="3" t="s">
        <v>288</v>
      </c>
      <c r="E314" s="3" t="s">
        <v>288</v>
      </c>
      <c r="F314" s="3" t="s">
        <v>105</v>
      </c>
      <c r="G314" s="3" t="s">
        <v>61</v>
      </c>
      <c r="H314" s="3" t="n">
        <v>0.879</v>
      </c>
      <c r="I314" s="13" t="n">
        <f aca="false">IF(G314=E314,1,0)</f>
        <v>0</v>
      </c>
      <c r="J314" s="3" t="s">
        <v>257</v>
      </c>
    </row>
    <row r="315" customFormat="false" ht="15.75" hidden="false" customHeight="false" outlineLevel="0" collapsed="false">
      <c r="A315" s="3" t="n">
        <v>314</v>
      </c>
      <c r="B315" s="3" t="s">
        <v>518</v>
      </c>
      <c r="C315" s="3" t="s">
        <v>143</v>
      </c>
      <c r="D315" s="3" t="s">
        <v>198</v>
      </c>
      <c r="E315" s="3" t="s">
        <v>67</v>
      </c>
      <c r="F315" s="3" t="s">
        <v>143</v>
      </c>
      <c r="G315" s="3" t="s">
        <v>67</v>
      </c>
      <c r="H315" s="3" t="n">
        <v>0.878</v>
      </c>
      <c r="I315" s="13" t="n">
        <f aca="false">IF(G315=E315,1,0)</f>
        <v>1</v>
      </c>
      <c r="K315" s="13" t="n">
        <f aca="false">IF(G315=E315,1,0)</f>
        <v>1</v>
      </c>
      <c r="L315" s="13" t="n">
        <f aca="false">IF(F315=C315,1,0)</f>
        <v>1</v>
      </c>
    </row>
    <row r="316" customFormat="false" ht="15.75" hidden="false" customHeight="false" outlineLevel="0" collapsed="false">
      <c r="A316" s="3" t="n">
        <v>315</v>
      </c>
      <c r="B316" s="3" t="s">
        <v>158</v>
      </c>
      <c r="C316" s="3" t="s">
        <v>105</v>
      </c>
      <c r="D316" s="3" t="s">
        <v>61</v>
      </c>
      <c r="E316" s="3" t="s">
        <v>61</v>
      </c>
      <c r="F316" s="3" t="s">
        <v>143</v>
      </c>
      <c r="G316" s="3" t="s">
        <v>79</v>
      </c>
      <c r="H316" s="3" t="n">
        <v>0.876</v>
      </c>
      <c r="I316" s="13" t="n">
        <f aca="false">IF(G316=E316,1,0)</f>
        <v>0</v>
      </c>
      <c r="K316" s="13" t="n">
        <f aca="false">IF(G316=E316,1,0)</f>
        <v>0</v>
      </c>
      <c r="L316" s="13" t="n">
        <f aca="false">IF(F316=C316,1,0)</f>
        <v>0</v>
      </c>
    </row>
    <row r="317" customFormat="false" ht="15.75" hidden="false" customHeight="false" outlineLevel="0" collapsed="false">
      <c r="A317" s="3" t="n">
        <v>316</v>
      </c>
      <c r="B317" s="3" t="s">
        <v>519</v>
      </c>
      <c r="C317" s="3" t="s">
        <v>105</v>
      </c>
      <c r="D317" s="3" t="s">
        <v>61</v>
      </c>
      <c r="E317" s="3" t="s">
        <v>61</v>
      </c>
      <c r="F317" s="3" t="s">
        <v>105</v>
      </c>
      <c r="G317" s="3" t="s">
        <v>61</v>
      </c>
      <c r="H317" s="3" t="n">
        <v>0.875</v>
      </c>
      <c r="I317" s="13" t="n">
        <f aca="false">IF(G317=E317,1,0)</f>
        <v>1</v>
      </c>
      <c r="K317" s="13" t="n">
        <f aca="false">IF(G317=E317,1,0)</f>
        <v>1</v>
      </c>
      <c r="L317" s="13" t="n">
        <f aca="false">IF(F317=C317,1,0)</f>
        <v>1</v>
      </c>
    </row>
    <row r="318" customFormat="false" ht="15.75" hidden="false" customHeight="false" outlineLevel="0" collapsed="false">
      <c r="A318" s="3" t="n">
        <v>317</v>
      </c>
      <c r="B318" s="3" t="s">
        <v>520</v>
      </c>
      <c r="C318" s="3" t="s">
        <v>105</v>
      </c>
      <c r="D318" s="3" t="s">
        <v>61</v>
      </c>
      <c r="E318" s="3" t="s">
        <v>61</v>
      </c>
      <c r="F318" s="3" t="s">
        <v>143</v>
      </c>
      <c r="G318" s="3" t="s">
        <v>67</v>
      </c>
      <c r="H318" s="3" t="n">
        <v>0.875</v>
      </c>
      <c r="I318" s="13" t="n">
        <f aca="false">IF(G318=E318,1,0)</f>
        <v>0</v>
      </c>
      <c r="K318" s="13" t="n">
        <f aca="false">IF(G318=E318,1,0)</f>
        <v>0</v>
      </c>
      <c r="L318" s="13" t="n">
        <f aca="false">IF(F318=C318,1,0)</f>
        <v>0</v>
      </c>
    </row>
    <row r="319" customFormat="false" ht="15.75" hidden="false" customHeight="false" outlineLevel="0" collapsed="false">
      <c r="A319" s="3" t="n">
        <v>318</v>
      </c>
      <c r="B319" s="3" t="s">
        <v>521</v>
      </c>
      <c r="C319" s="3" t="s">
        <v>143</v>
      </c>
      <c r="D319" s="3" t="s">
        <v>198</v>
      </c>
      <c r="E319" s="3" t="s">
        <v>67</v>
      </c>
      <c r="F319" s="3" t="s">
        <v>143</v>
      </c>
      <c r="G319" s="3" t="s">
        <v>79</v>
      </c>
      <c r="H319" s="3" t="n">
        <v>0.875</v>
      </c>
      <c r="I319" s="13" t="n">
        <f aca="false">IF(G319=E319,1,0)</f>
        <v>0</v>
      </c>
      <c r="K319" s="13" t="n">
        <f aca="false">IF(G319=E319,1,0)</f>
        <v>0</v>
      </c>
      <c r="L319" s="13" t="n">
        <f aca="false">IF(F319=C319,1,0)</f>
        <v>1</v>
      </c>
    </row>
    <row r="320" customFormat="false" ht="15.75" hidden="false" customHeight="false" outlineLevel="0" collapsed="false">
      <c r="A320" s="3" t="n">
        <v>319</v>
      </c>
      <c r="B320" s="3" t="s">
        <v>522</v>
      </c>
      <c r="C320" s="3" t="s">
        <v>105</v>
      </c>
      <c r="D320" s="3" t="s">
        <v>61</v>
      </c>
      <c r="E320" s="3" t="s">
        <v>61</v>
      </c>
      <c r="F320" s="3" t="s">
        <v>105</v>
      </c>
      <c r="G320" s="3" t="s">
        <v>59</v>
      </c>
      <c r="H320" s="3" t="n">
        <v>0.874</v>
      </c>
      <c r="I320" s="13" t="n">
        <f aca="false">IF(G320=E320,1,0)</f>
        <v>0</v>
      </c>
      <c r="K320" s="13" t="n">
        <f aca="false">IF(G320=E320,1,0)</f>
        <v>0</v>
      </c>
      <c r="L320" s="13" t="n">
        <f aca="false">IF(F320=C320,1,0)</f>
        <v>1</v>
      </c>
    </row>
    <row r="321" customFormat="false" ht="15.75" hidden="false" customHeight="false" outlineLevel="0" collapsed="false">
      <c r="A321" s="3" t="n">
        <v>320</v>
      </c>
      <c r="B321" s="3" t="s">
        <v>523</v>
      </c>
      <c r="C321" s="3" t="s">
        <v>105</v>
      </c>
      <c r="D321" s="3" t="s">
        <v>61</v>
      </c>
      <c r="E321" s="3" t="s">
        <v>61</v>
      </c>
      <c r="F321" s="3" t="s">
        <v>105</v>
      </c>
      <c r="G321" s="3" t="s">
        <v>61</v>
      </c>
      <c r="H321" s="3" t="n">
        <v>0.869</v>
      </c>
      <c r="I321" s="13" t="n">
        <f aca="false">IF(G321=E321,1,0)</f>
        <v>1</v>
      </c>
      <c r="K321" s="13" t="n">
        <f aca="false">IF(G321=E321,1,0)</f>
        <v>1</v>
      </c>
      <c r="L321" s="13" t="n">
        <f aca="false">IF(F321=C321,1,0)</f>
        <v>1</v>
      </c>
    </row>
    <row r="322" customFormat="false" ht="15.75" hidden="false" customHeight="false" outlineLevel="0" collapsed="false">
      <c r="A322" s="3" t="n">
        <v>321</v>
      </c>
      <c r="B322" s="3" t="s">
        <v>524</v>
      </c>
      <c r="C322" s="3" t="s">
        <v>105</v>
      </c>
      <c r="D322" s="3" t="s">
        <v>61</v>
      </c>
      <c r="E322" s="3" t="s">
        <v>61</v>
      </c>
      <c r="F322" s="3" t="s">
        <v>150</v>
      </c>
      <c r="G322" s="3" t="s">
        <v>71</v>
      </c>
      <c r="H322" s="3" t="n">
        <v>0.869</v>
      </c>
      <c r="I322" s="13" t="n">
        <f aca="false">IF(G322=E322,1,0)</f>
        <v>0</v>
      </c>
      <c r="K322" s="13" t="n">
        <f aca="false">IF(G322=E322,1,0)</f>
        <v>0</v>
      </c>
      <c r="L322" s="13" t="n">
        <f aca="false">IF(F322=C322,1,0)</f>
        <v>0</v>
      </c>
    </row>
    <row r="323" customFormat="false" ht="15.75" hidden="false" customHeight="false" outlineLevel="0" collapsed="false">
      <c r="A323" s="3" t="n">
        <v>322</v>
      </c>
      <c r="B323" s="3" t="s">
        <v>525</v>
      </c>
      <c r="C323" s="3" t="s">
        <v>150</v>
      </c>
      <c r="D323" s="3" t="s">
        <v>75</v>
      </c>
      <c r="E323" s="3" t="s">
        <v>75</v>
      </c>
      <c r="F323" s="3" t="s">
        <v>133</v>
      </c>
      <c r="G323" s="3" t="s">
        <v>65</v>
      </c>
      <c r="H323" s="3" t="n">
        <v>0.868</v>
      </c>
      <c r="I323" s="13" t="n">
        <f aca="false">IF(G323=E323,1,0)</f>
        <v>0</v>
      </c>
      <c r="K323" s="13" t="n">
        <f aca="false">IF(G323=E323,1,0)</f>
        <v>0</v>
      </c>
      <c r="L323" s="13" t="n">
        <f aca="false">IF(F323=C323,1,0)</f>
        <v>0</v>
      </c>
    </row>
    <row r="324" customFormat="false" ht="15.75" hidden="false" customHeight="false" outlineLevel="0" collapsed="false">
      <c r="A324" s="3" t="n">
        <v>323</v>
      </c>
      <c r="B324" s="3" t="s">
        <v>526</v>
      </c>
      <c r="C324" s="3" t="s">
        <v>105</v>
      </c>
      <c r="D324" s="3" t="s">
        <v>61</v>
      </c>
      <c r="E324" s="3" t="s">
        <v>61</v>
      </c>
      <c r="F324" s="3" t="s">
        <v>105</v>
      </c>
      <c r="G324" s="3" t="s">
        <v>61</v>
      </c>
      <c r="H324" s="3" t="n">
        <v>0.867</v>
      </c>
      <c r="I324" s="13" t="n">
        <f aca="false">IF(G324=E324,1,0)</f>
        <v>1</v>
      </c>
      <c r="K324" s="13" t="n">
        <f aca="false">IF(G324=E324,1,0)</f>
        <v>1</v>
      </c>
      <c r="L324" s="13" t="n">
        <f aca="false">IF(F324=C324,1,0)</f>
        <v>1</v>
      </c>
    </row>
    <row r="325" customFormat="false" ht="15.75" hidden="false" customHeight="false" outlineLevel="0" collapsed="false">
      <c r="A325" s="3" t="n">
        <v>324</v>
      </c>
      <c r="B325" s="3" t="s">
        <v>527</v>
      </c>
      <c r="C325" s="3" t="s">
        <v>143</v>
      </c>
      <c r="D325" s="3" t="s">
        <v>198</v>
      </c>
      <c r="E325" s="3" t="s">
        <v>67</v>
      </c>
      <c r="F325" s="3" t="s">
        <v>143</v>
      </c>
      <c r="G325" s="3" t="s">
        <v>67</v>
      </c>
      <c r="H325" s="3" t="n">
        <v>0.866</v>
      </c>
      <c r="I325" s="13" t="n">
        <f aca="false">IF(G325=E325,1,0)</f>
        <v>1</v>
      </c>
      <c r="K325" s="13" t="n">
        <f aca="false">IF(G325=E325,1,0)</f>
        <v>1</v>
      </c>
      <c r="L325" s="13" t="n">
        <f aca="false">IF(F325=C325,1,0)</f>
        <v>1</v>
      </c>
    </row>
    <row r="326" customFormat="false" ht="15.75" hidden="false" customHeight="false" outlineLevel="0" collapsed="false">
      <c r="A326" s="3" t="n">
        <v>325</v>
      </c>
      <c r="B326" s="3" t="s">
        <v>528</v>
      </c>
      <c r="C326" s="3" t="s">
        <v>105</v>
      </c>
      <c r="D326" s="3" t="s">
        <v>55</v>
      </c>
      <c r="E326" s="3" t="s">
        <v>55</v>
      </c>
      <c r="F326" s="3" t="s">
        <v>105</v>
      </c>
      <c r="G326" s="3" t="s">
        <v>55</v>
      </c>
      <c r="H326" s="3" t="n">
        <v>0.865</v>
      </c>
      <c r="I326" s="13" t="n">
        <f aca="false">IF(G326=E326,1,0)</f>
        <v>1</v>
      </c>
      <c r="K326" s="13" t="n">
        <f aca="false">IF(G326=E326,1,0)</f>
        <v>1</v>
      </c>
      <c r="L326" s="13" t="n">
        <f aca="false">IF(F326=C326,1,0)</f>
        <v>1</v>
      </c>
    </row>
    <row r="327" customFormat="false" ht="15.75" hidden="false" customHeight="false" outlineLevel="0" collapsed="false">
      <c r="A327" s="3" t="n">
        <v>326</v>
      </c>
      <c r="B327" s="3" t="s">
        <v>529</v>
      </c>
      <c r="C327" s="3" t="s">
        <v>105</v>
      </c>
      <c r="D327" s="3" t="s">
        <v>61</v>
      </c>
      <c r="E327" s="3" t="s">
        <v>61</v>
      </c>
      <c r="F327" s="3" t="s">
        <v>105</v>
      </c>
      <c r="G327" s="3" t="s">
        <v>61</v>
      </c>
      <c r="H327" s="3" t="n">
        <v>0.865</v>
      </c>
      <c r="I327" s="13" t="n">
        <f aca="false">IF(G327=E327,1,0)</f>
        <v>1</v>
      </c>
      <c r="K327" s="13" t="n">
        <f aca="false">IF(G327=E327,1,0)</f>
        <v>1</v>
      </c>
      <c r="L327" s="13" t="n">
        <f aca="false">IF(F327=C327,1,0)</f>
        <v>1</v>
      </c>
    </row>
    <row r="328" customFormat="false" ht="15.75" hidden="false" customHeight="false" outlineLevel="0" collapsed="false">
      <c r="A328" s="3" t="n">
        <v>327</v>
      </c>
      <c r="B328" s="3" t="s">
        <v>530</v>
      </c>
      <c r="C328" s="3" t="s">
        <v>105</v>
      </c>
      <c r="D328" s="3" t="s">
        <v>61</v>
      </c>
      <c r="E328" s="3" t="s">
        <v>61</v>
      </c>
      <c r="F328" s="3" t="s">
        <v>105</v>
      </c>
      <c r="G328" s="3" t="s">
        <v>77</v>
      </c>
      <c r="H328" s="3" t="n">
        <v>0.864</v>
      </c>
      <c r="I328" s="13" t="n">
        <f aca="false">IF(G328=E328,1,0)</f>
        <v>0</v>
      </c>
      <c r="K328" s="13" t="n">
        <f aca="false">IF(G328=E328,1,0)</f>
        <v>0</v>
      </c>
      <c r="L328" s="13" t="n">
        <f aca="false">IF(F328=C328,1,0)</f>
        <v>1</v>
      </c>
    </row>
    <row r="329" customFormat="false" ht="15.75" hidden="false" customHeight="false" outlineLevel="0" collapsed="false">
      <c r="A329" s="3" t="n">
        <v>328</v>
      </c>
      <c r="B329" s="3" t="s">
        <v>531</v>
      </c>
      <c r="C329" s="3" t="s">
        <v>532</v>
      </c>
      <c r="F329" s="3" t="s">
        <v>150</v>
      </c>
      <c r="G329" s="3" t="s">
        <v>63</v>
      </c>
      <c r="H329" s="3" t="n">
        <v>0.858</v>
      </c>
      <c r="I329" s="13" t="n">
        <f aca="false">IF(G329=E329,1,0)</f>
        <v>0</v>
      </c>
      <c r="J329" s="3" t="s">
        <v>257</v>
      </c>
    </row>
    <row r="330" customFormat="false" ht="15.75" hidden="false" customHeight="false" outlineLevel="0" collapsed="false">
      <c r="A330" s="3" t="n">
        <v>329</v>
      </c>
      <c r="B330" s="3" t="s">
        <v>533</v>
      </c>
      <c r="C330" s="3" t="s">
        <v>105</v>
      </c>
      <c r="D330" s="3" t="s">
        <v>77</v>
      </c>
      <c r="E330" s="3" t="s">
        <v>77</v>
      </c>
      <c r="F330" s="3" t="s">
        <v>143</v>
      </c>
      <c r="G330" s="3" t="s">
        <v>67</v>
      </c>
      <c r="H330" s="3" t="n">
        <v>0.857</v>
      </c>
      <c r="I330" s="13" t="n">
        <f aca="false">IF(G330=E330,1,0)</f>
        <v>0</v>
      </c>
      <c r="K330" s="13" t="n">
        <f aca="false">IF(G330=E330,1,0)</f>
        <v>0</v>
      </c>
      <c r="L330" s="13" t="n">
        <f aca="false">IF(F330=C330,1,0)</f>
        <v>0</v>
      </c>
    </row>
    <row r="331" customFormat="false" ht="15.75" hidden="false" customHeight="false" outlineLevel="0" collapsed="false">
      <c r="A331" s="3" t="n">
        <v>330</v>
      </c>
      <c r="B331" s="3" t="s">
        <v>534</v>
      </c>
      <c r="C331" s="3" t="s">
        <v>105</v>
      </c>
      <c r="D331" s="3" t="s">
        <v>61</v>
      </c>
      <c r="E331" s="3" t="s">
        <v>61</v>
      </c>
      <c r="F331" s="3" t="s">
        <v>105</v>
      </c>
      <c r="G331" s="3" t="s">
        <v>61</v>
      </c>
      <c r="H331" s="3" t="n">
        <v>0.856</v>
      </c>
      <c r="I331" s="13" t="n">
        <f aca="false">IF(G331=E331,1,0)</f>
        <v>1</v>
      </c>
      <c r="K331" s="13" t="n">
        <f aca="false">IF(G331=E331,1,0)</f>
        <v>1</v>
      </c>
      <c r="L331" s="13" t="n">
        <f aca="false">IF(F331=C331,1,0)</f>
        <v>1</v>
      </c>
    </row>
    <row r="332" customFormat="false" ht="15.75" hidden="false" customHeight="false" outlineLevel="0" collapsed="false">
      <c r="A332" s="3" t="n">
        <v>331</v>
      </c>
      <c r="B332" s="3" t="s">
        <v>535</v>
      </c>
      <c r="C332" s="3" t="s">
        <v>105</v>
      </c>
      <c r="D332" s="3" t="s">
        <v>55</v>
      </c>
      <c r="E332" s="3" t="s">
        <v>55</v>
      </c>
      <c r="F332" s="3" t="s">
        <v>105</v>
      </c>
      <c r="G332" s="3" t="s">
        <v>61</v>
      </c>
      <c r="H332" s="3" t="n">
        <v>0.854</v>
      </c>
      <c r="I332" s="13" t="n">
        <f aca="false">IF(G332=E332,1,0)</f>
        <v>0</v>
      </c>
      <c r="K332" s="13" t="n">
        <f aca="false">IF(G332=E332,1,0)</f>
        <v>0</v>
      </c>
      <c r="L332" s="13" t="n">
        <f aca="false">IF(F332=C332,1,0)</f>
        <v>1</v>
      </c>
    </row>
    <row r="333" customFormat="false" ht="15.75" hidden="false" customHeight="false" outlineLevel="0" collapsed="false">
      <c r="A333" s="3" t="n">
        <v>332</v>
      </c>
      <c r="B333" s="3" t="s">
        <v>536</v>
      </c>
      <c r="C333" s="3" t="s">
        <v>105</v>
      </c>
      <c r="D333" s="3" t="s">
        <v>61</v>
      </c>
      <c r="E333" s="3" t="s">
        <v>61</v>
      </c>
      <c r="F333" s="3" t="s">
        <v>105</v>
      </c>
      <c r="G333" s="3" t="s">
        <v>61</v>
      </c>
      <c r="H333" s="3" t="n">
        <v>0.853</v>
      </c>
      <c r="I333" s="13" t="n">
        <f aca="false">IF(G333=E333,1,0)</f>
        <v>1</v>
      </c>
      <c r="K333" s="13" t="n">
        <f aca="false">IF(G333=E333,1,0)</f>
        <v>1</v>
      </c>
      <c r="L333" s="13" t="n">
        <f aca="false">IF(F333=C333,1,0)</f>
        <v>1</v>
      </c>
    </row>
    <row r="334" customFormat="false" ht="15.75" hidden="false" customHeight="false" outlineLevel="0" collapsed="false">
      <c r="A334" s="3" t="n">
        <v>333</v>
      </c>
      <c r="B334" s="3" t="s">
        <v>537</v>
      </c>
      <c r="C334" s="3" t="s">
        <v>143</v>
      </c>
      <c r="D334" s="3" t="s">
        <v>288</v>
      </c>
      <c r="E334" s="3" t="s">
        <v>288</v>
      </c>
      <c r="F334" s="3" t="s">
        <v>143</v>
      </c>
      <c r="G334" s="3" t="s">
        <v>79</v>
      </c>
      <c r="H334" s="3" t="n">
        <v>0.852</v>
      </c>
      <c r="I334" s="13" t="n">
        <f aca="false">IF(G334=E334,1,0)</f>
        <v>0</v>
      </c>
      <c r="J334" s="3" t="s">
        <v>257</v>
      </c>
    </row>
    <row r="335" customFormat="false" ht="15.75" hidden="false" customHeight="false" outlineLevel="0" collapsed="false">
      <c r="A335" s="3" t="n">
        <v>334</v>
      </c>
      <c r="B335" s="3" t="s">
        <v>538</v>
      </c>
      <c r="C335" s="3" t="s">
        <v>105</v>
      </c>
      <c r="D335" s="3" t="s">
        <v>61</v>
      </c>
      <c r="E335" s="3" t="s">
        <v>61</v>
      </c>
      <c r="F335" s="3" t="s">
        <v>133</v>
      </c>
      <c r="G335" s="3" t="s">
        <v>65</v>
      </c>
      <c r="H335" s="3" t="n">
        <v>0.851</v>
      </c>
      <c r="I335" s="13" t="n">
        <f aca="false">IF(G335=E335,1,0)</f>
        <v>0</v>
      </c>
      <c r="K335" s="13" t="n">
        <f aca="false">IF(G335=E335,1,0)</f>
        <v>0</v>
      </c>
      <c r="L335" s="13" t="n">
        <f aca="false">IF(F335=C335,1,0)</f>
        <v>0</v>
      </c>
    </row>
    <row r="336" customFormat="false" ht="15.75" hidden="false" customHeight="false" outlineLevel="0" collapsed="false">
      <c r="A336" s="3" t="n">
        <v>335</v>
      </c>
      <c r="B336" s="3" t="s">
        <v>539</v>
      </c>
      <c r="C336" s="3" t="s">
        <v>143</v>
      </c>
      <c r="D336" s="3" t="s">
        <v>198</v>
      </c>
      <c r="E336" s="3" t="s">
        <v>67</v>
      </c>
      <c r="F336" s="3" t="s">
        <v>143</v>
      </c>
      <c r="G336" s="3" t="s">
        <v>79</v>
      </c>
      <c r="H336" s="3" t="n">
        <v>0.85</v>
      </c>
      <c r="I336" s="13" t="n">
        <f aca="false">IF(G336=E336,1,0)</f>
        <v>0</v>
      </c>
      <c r="K336" s="13" t="n">
        <f aca="false">IF(G336=E336,1,0)</f>
        <v>0</v>
      </c>
      <c r="L336" s="13" t="n">
        <f aca="false">IF(F336=C336,1,0)</f>
        <v>1</v>
      </c>
    </row>
    <row r="337" customFormat="false" ht="15.75" hidden="false" customHeight="false" outlineLevel="0" collapsed="false">
      <c r="A337" s="3" t="n">
        <v>336</v>
      </c>
      <c r="B337" s="3" t="s">
        <v>540</v>
      </c>
      <c r="C337" s="3" t="s">
        <v>143</v>
      </c>
      <c r="D337" s="3" t="s">
        <v>288</v>
      </c>
      <c r="E337" s="3" t="s">
        <v>288</v>
      </c>
      <c r="F337" s="3" t="s">
        <v>143</v>
      </c>
      <c r="G337" s="3" t="s">
        <v>67</v>
      </c>
      <c r="H337" s="3" t="n">
        <v>0.848</v>
      </c>
      <c r="I337" s="13" t="n">
        <f aca="false">IF(G337=E337,1,0)</f>
        <v>0</v>
      </c>
      <c r="J337" s="3" t="s">
        <v>257</v>
      </c>
    </row>
    <row r="338" customFormat="false" ht="15.75" hidden="false" customHeight="false" outlineLevel="0" collapsed="false">
      <c r="A338" s="3" t="n">
        <v>337</v>
      </c>
      <c r="B338" s="3" t="s">
        <v>541</v>
      </c>
      <c r="C338" s="3" t="s">
        <v>143</v>
      </c>
      <c r="D338" s="3" t="s">
        <v>198</v>
      </c>
      <c r="E338" s="3" t="s">
        <v>67</v>
      </c>
      <c r="F338" s="3" t="s">
        <v>143</v>
      </c>
      <c r="G338" s="3" t="s">
        <v>67</v>
      </c>
      <c r="H338" s="3" t="n">
        <v>0.848</v>
      </c>
      <c r="I338" s="13" t="n">
        <f aca="false">IF(G338=E338,1,0)</f>
        <v>1</v>
      </c>
      <c r="K338" s="13" t="n">
        <f aca="false">IF(G338=E338,1,0)</f>
        <v>1</v>
      </c>
      <c r="L338" s="13" t="n">
        <f aca="false">IF(F338=C338,1,0)</f>
        <v>1</v>
      </c>
    </row>
    <row r="339" customFormat="false" ht="15.75" hidden="false" customHeight="false" outlineLevel="0" collapsed="false">
      <c r="A339" s="3" t="n">
        <v>338</v>
      </c>
      <c r="B339" s="3" t="s">
        <v>542</v>
      </c>
      <c r="C339" s="3" t="s">
        <v>105</v>
      </c>
      <c r="D339" s="3" t="s">
        <v>61</v>
      </c>
      <c r="E339" s="3" t="s">
        <v>61</v>
      </c>
      <c r="F339" s="3" t="s">
        <v>105</v>
      </c>
      <c r="G339" s="3" t="s">
        <v>77</v>
      </c>
      <c r="H339" s="3" t="n">
        <v>0.841</v>
      </c>
      <c r="I339" s="13" t="n">
        <f aca="false">IF(G339=E339,1,0)</f>
        <v>0</v>
      </c>
      <c r="K339" s="13" t="n">
        <f aca="false">IF(G339=E339,1,0)</f>
        <v>0</v>
      </c>
      <c r="L339" s="13" t="n">
        <f aca="false">IF(F339=C339,1,0)</f>
        <v>1</v>
      </c>
    </row>
    <row r="340" customFormat="false" ht="15.75" hidden="false" customHeight="false" outlineLevel="0" collapsed="false">
      <c r="A340" s="3" t="n">
        <v>339</v>
      </c>
      <c r="B340" s="3" t="s">
        <v>543</v>
      </c>
      <c r="C340" s="3" t="s">
        <v>143</v>
      </c>
      <c r="D340" s="3" t="s">
        <v>351</v>
      </c>
      <c r="E340" s="3" t="s">
        <v>351</v>
      </c>
      <c r="F340" s="3" t="s">
        <v>105</v>
      </c>
      <c r="G340" s="3" t="s">
        <v>55</v>
      </c>
      <c r="H340" s="3" t="n">
        <v>0.84</v>
      </c>
      <c r="I340" s="13" t="n">
        <f aca="false">IF(G340=E340,1,0)</f>
        <v>0</v>
      </c>
      <c r="J340" s="3" t="s">
        <v>257</v>
      </c>
    </row>
    <row r="341" customFormat="false" ht="15.75" hidden="false" customHeight="false" outlineLevel="0" collapsed="false">
      <c r="A341" s="3" t="n">
        <v>340</v>
      </c>
      <c r="B341" s="3" t="s">
        <v>544</v>
      </c>
      <c r="C341" s="3" t="s">
        <v>105</v>
      </c>
      <c r="D341" s="3" t="s">
        <v>61</v>
      </c>
      <c r="E341" s="3" t="s">
        <v>61</v>
      </c>
      <c r="F341" s="3" t="s">
        <v>105</v>
      </c>
      <c r="G341" s="3" t="s">
        <v>61</v>
      </c>
      <c r="H341" s="3" t="n">
        <v>0.837</v>
      </c>
      <c r="I341" s="13" t="n">
        <f aca="false">IF(G341=E341,1,0)</f>
        <v>1</v>
      </c>
      <c r="K341" s="13" t="n">
        <f aca="false">IF(G341=E341,1,0)</f>
        <v>1</v>
      </c>
      <c r="L341" s="13" t="n">
        <f aca="false">IF(F341=C341,1,0)</f>
        <v>1</v>
      </c>
    </row>
    <row r="342" customFormat="false" ht="15.75" hidden="false" customHeight="false" outlineLevel="0" collapsed="false">
      <c r="A342" s="3" t="n">
        <v>341</v>
      </c>
      <c r="B342" s="3" t="s">
        <v>545</v>
      </c>
      <c r="C342" s="3" t="s">
        <v>105</v>
      </c>
      <c r="D342" s="3" t="s">
        <v>61</v>
      </c>
      <c r="E342" s="3" t="s">
        <v>61</v>
      </c>
      <c r="F342" s="3" t="s">
        <v>105</v>
      </c>
      <c r="G342" s="3" t="s">
        <v>61</v>
      </c>
      <c r="H342" s="3" t="n">
        <v>0.836</v>
      </c>
      <c r="I342" s="13" t="n">
        <f aca="false">IF(G342=E342,1,0)</f>
        <v>1</v>
      </c>
      <c r="K342" s="13" t="n">
        <f aca="false">IF(G342=E342,1,0)</f>
        <v>1</v>
      </c>
      <c r="L342" s="13" t="n">
        <f aca="false">IF(F342=C342,1,0)</f>
        <v>1</v>
      </c>
    </row>
    <row r="343" customFormat="false" ht="15.75" hidden="false" customHeight="false" outlineLevel="0" collapsed="false">
      <c r="A343" s="3" t="n">
        <v>342</v>
      </c>
      <c r="B343" s="3" t="s">
        <v>546</v>
      </c>
      <c r="C343" s="3" t="s">
        <v>105</v>
      </c>
      <c r="D343" s="3" t="s">
        <v>61</v>
      </c>
      <c r="E343" s="3" t="s">
        <v>61</v>
      </c>
      <c r="F343" s="3" t="s">
        <v>143</v>
      </c>
      <c r="G343" s="3" t="s">
        <v>79</v>
      </c>
      <c r="H343" s="3" t="n">
        <v>0.836</v>
      </c>
      <c r="I343" s="13" t="n">
        <f aca="false">IF(G343=E343,1,0)</f>
        <v>0</v>
      </c>
      <c r="K343" s="13" t="n">
        <f aca="false">IF(G343=E343,1,0)</f>
        <v>0</v>
      </c>
      <c r="L343" s="13" t="n">
        <f aca="false">IF(F343=C343,1,0)</f>
        <v>0</v>
      </c>
    </row>
    <row r="344" customFormat="false" ht="15.75" hidden="false" customHeight="false" outlineLevel="0" collapsed="false">
      <c r="A344" s="3" t="n">
        <v>343</v>
      </c>
      <c r="B344" s="3" t="s">
        <v>547</v>
      </c>
      <c r="C344" s="3" t="s">
        <v>105</v>
      </c>
      <c r="D344" s="3" t="s">
        <v>61</v>
      </c>
      <c r="E344" s="3" t="s">
        <v>61</v>
      </c>
      <c r="F344" s="3" t="s">
        <v>105</v>
      </c>
      <c r="G344" s="3" t="s">
        <v>61</v>
      </c>
      <c r="H344" s="3" t="n">
        <v>0.835</v>
      </c>
      <c r="I344" s="13" t="n">
        <f aca="false">IF(G344=E344,1,0)</f>
        <v>1</v>
      </c>
      <c r="K344" s="13" t="n">
        <f aca="false">IF(G344=E344,1,0)</f>
        <v>1</v>
      </c>
      <c r="L344" s="13" t="n">
        <f aca="false">IF(F344=C344,1,0)</f>
        <v>1</v>
      </c>
    </row>
    <row r="345" customFormat="false" ht="15.75" hidden="false" customHeight="false" outlineLevel="0" collapsed="false">
      <c r="A345" s="3" t="n">
        <v>344</v>
      </c>
      <c r="B345" s="3" t="s">
        <v>548</v>
      </c>
      <c r="C345" s="3" t="s">
        <v>105</v>
      </c>
      <c r="D345" s="3" t="s">
        <v>61</v>
      </c>
      <c r="E345" s="3" t="s">
        <v>61</v>
      </c>
      <c r="F345" s="3" t="s">
        <v>105</v>
      </c>
      <c r="G345" s="3" t="s">
        <v>61</v>
      </c>
      <c r="H345" s="3" t="n">
        <v>0.835</v>
      </c>
      <c r="I345" s="13" t="n">
        <f aca="false">IF(G345=E345,1,0)</f>
        <v>1</v>
      </c>
      <c r="K345" s="13" t="n">
        <f aca="false">IF(G345=E345,1,0)</f>
        <v>1</v>
      </c>
      <c r="L345" s="13" t="n">
        <f aca="false">IF(F345=C345,1,0)</f>
        <v>1</v>
      </c>
    </row>
    <row r="346" customFormat="false" ht="15.75" hidden="false" customHeight="false" outlineLevel="0" collapsed="false">
      <c r="A346" s="3" t="n">
        <v>345</v>
      </c>
      <c r="B346" s="3" t="s">
        <v>549</v>
      </c>
      <c r="C346" s="3" t="s">
        <v>105</v>
      </c>
      <c r="D346" s="3" t="s">
        <v>61</v>
      </c>
      <c r="E346" s="3" t="s">
        <v>61</v>
      </c>
      <c r="F346" s="3" t="s">
        <v>133</v>
      </c>
      <c r="G346" s="3" t="s">
        <v>65</v>
      </c>
      <c r="H346" s="3" t="n">
        <v>0.834</v>
      </c>
      <c r="I346" s="13" t="n">
        <f aca="false">IF(G346=E346,1,0)</f>
        <v>0</v>
      </c>
      <c r="K346" s="13" t="n">
        <f aca="false">IF(G346=E346,1,0)</f>
        <v>0</v>
      </c>
      <c r="L346" s="13" t="n">
        <f aca="false">IF(F346=C346,1,0)</f>
        <v>0</v>
      </c>
    </row>
    <row r="347" customFormat="false" ht="15.75" hidden="false" customHeight="false" outlineLevel="0" collapsed="false">
      <c r="A347" s="3" t="n">
        <v>346</v>
      </c>
      <c r="B347" s="3" t="s">
        <v>550</v>
      </c>
      <c r="C347" s="3" t="s">
        <v>133</v>
      </c>
      <c r="D347" s="3" t="s">
        <v>65</v>
      </c>
      <c r="E347" s="3" t="s">
        <v>65</v>
      </c>
      <c r="F347" s="3" t="s">
        <v>150</v>
      </c>
      <c r="G347" s="3" t="s">
        <v>63</v>
      </c>
      <c r="H347" s="3" t="n">
        <v>0.833</v>
      </c>
      <c r="I347" s="13" t="n">
        <f aca="false">IF(G347=E347,1,0)</f>
        <v>0</v>
      </c>
      <c r="K347" s="13" t="n">
        <f aca="false">IF(G347=E347,1,0)</f>
        <v>0</v>
      </c>
      <c r="L347" s="13" t="n">
        <f aca="false">IF(F347=C347,1,0)</f>
        <v>0</v>
      </c>
    </row>
    <row r="348" customFormat="false" ht="15.75" hidden="false" customHeight="false" outlineLevel="0" collapsed="false">
      <c r="A348" s="3" t="n">
        <v>347</v>
      </c>
      <c r="B348" s="3" t="s">
        <v>551</v>
      </c>
      <c r="C348" s="3" t="s">
        <v>105</v>
      </c>
      <c r="D348" s="3" t="s">
        <v>61</v>
      </c>
      <c r="E348" s="3" t="s">
        <v>61</v>
      </c>
      <c r="F348" s="3" t="s">
        <v>105</v>
      </c>
      <c r="G348" s="3" t="s">
        <v>61</v>
      </c>
      <c r="H348" s="3" t="n">
        <v>0.833</v>
      </c>
      <c r="I348" s="13" t="n">
        <f aca="false">IF(G348=E348,1,0)</f>
        <v>1</v>
      </c>
      <c r="K348" s="13" t="n">
        <f aca="false">IF(G348=E348,1,0)</f>
        <v>1</v>
      </c>
      <c r="L348" s="13" t="n">
        <f aca="false">IF(F348=C348,1,0)</f>
        <v>1</v>
      </c>
    </row>
    <row r="349" customFormat="false" ht="15.75" hidden="false" customHeight="false" outlineLevel="0" collapsed="false">
      <c r="A349" s="3" t="n">
        <v>348</v>
      </c>
      <c r="B349" s="3" t="s">
        <v>552</v>
      </c>
      <c r="C349" s="3" t="s">
        <v>105</v>
      </c>
      <c r="D349" s="3" t="s">
        <v>61</v>
      </c>
      <c r="E349" s="3" t="s">
        <v>61</v>
      </c>
      <c r="F349" s="3" t="s">
        <v>105</v>
      </c>
      <c r="G349" s="3" t="s">
        <v>61</v>
      </c>
      <c r="H349" s="3" t="n">
        <v>0.832</v>
      </c>
      <c r="I349" s="13" t="n">
        <f aca="false">IF(G349=E349,1,0)</f>
        <v>1</v>
      </c>
      <c r="K349" s="13" t="n">
        <f aca="false">IF(G349=E349,1,0)</f>
        <v>1</v>
      </c>
      <c r="L349" s="13" t="n">
        <f aca="false">IF(F349=C349,1,0)</f>
        <v>1</v>
      </c>
    </row>
    <row r="350" customFormat="false" ht="15.75" hidden="false" customHeight="false" outlineLevel="0" collapsed="false">
      <c r="A350" s="3" t="n">
        <v>349</v>
      </c>
      <c r="B350" s="3" t="s">
        <v>553</v>
      </c>
      <c r="C350" s="3" t="s">
        <v>105</v>
      </c>
      <c r="D350" s="3" t="s">
        <v>61</v>
      </c>
      <c r="E350" s="3" t="s">
        <v>61</v>
      </c>
      <c r="F350" s="3" t="s">
        <v>150</v>
      </c>
      <c r="G350" s="3" t="s">
        <v>83</v>
      </c>
      <c r="H350" s="3" t="n">
        <v>0.832</v>
      </c>
      <c r="I350" s="13" t="n">
        <f aca="false">IF(G350=E350,1,0)</f>
        <v>0</v>
      </c>
      <c r="K350" s="13" t="n">
        <f aca="false">IF(G350=E350,1,0)</f>
        <v>0</v>
      </c>
      <c r="L350" s="13" t="n">
        <f aca="false">IF(F350=C350,1,0)</f>
        <v>0</v>
      </c>
    </row>
    <row r="351" customFormat="false" ht="15.75" hidden="false" customHeight="false" outlineLevel="0" collapsed="false">
      <c r="A351" s="3" t="n">
        <v>350</v>
      </c>
      <c r="B351" s="3" t="s">
        <v>554</v>
      </c>
      <c r="C351" s="3" t="s">
        <v>105</v>
      </c>
      <c r="D351" s="3" t="s">
        <v>77</v>
      </c>
      <c r="E351" s="3" t="s">
        <v>77</v>
      </c>
      <c r="F351" s="3" t="s">
        <v>133</v>
      </c>
      <c r="G351" s="3" t="s">
        <v>65</v>
      </c>
      <c r="H351" s="3" t="n">
        <v>0.831</v>
      </c>
      <c r="I351" s="13" t="n">
        <f aca="false">IF(G351=E351,1,0)</f>
        <v>0</v>
      </c>
      <c r="K351" s="13" t="n">
        <f aca="false">IF(G351=E351,1,0)</f>
        <v>0</v>
      </c>
      <c r="L351" s="13" t="n">
        <f aca="false">IF(F351=C351,1,0)</f>
        <v>0</v>
      </c>
    </row>
    <row r="352" customFormat="false" ht="15.75" hidden="false" customHeight="false" outlineLevel="0" collapsed="false">
      <c r="A352" s="3" t="n">
        <v>351</v>
      </c>
      <c r="B352" s="3" t="s">
        <v>555</v>
      </c>
      <c r="C352" s="3" t="s">
        <v>105</v>
      </c>
      <c r="D352" s="3" t="s">
        <v>61</v>
      </c>
      <c r="E352" s="3" t="s">
        <v>61</v>
      </c>
      <c r="F352" s="3" t="s">
        <v>105</v>
      </c>
      <c r="G352" s="3" t="s">
        <v>61</v>
      </c>
      <c r="H352" s="3" t="n">
        <v>0.831</v>
      </c>
      <c r="I352" s="13" t="n">
        <f aca="false">IF(G352=E352,1,0)</f>
        <v>1</v>
      </c>
      <c r="K352" s="13" t="n">
        <f aca="false">IF(G352=E352,1,0)</f>
        <v>1</v>
      </c>
      <c r="L352" s="13" t="n">
        <f aca="false">IF(F352=C352,1,0)</f>
        <v>1</v>
      </c>
    </row>
    <row r="353" customFormat="false" ht="15.75" hidden="false" customHeight="false" outlineLevel="0" collapsed="false">
      <c r="A353" s="3" t="n">
        <v>352</v>
      </c>
      <c r="B353" s="3" t="s">
        <v>104</v>
      </c>
      <c r="C353" s="3" t="s">
        <v>105</v>
      </c>
      <c r="D353" s="3" t="s">
        <v>61</v>
      </c>
      <c r="E353" s="3" t="s">
        <v>61</v>
      </c>
      <c r="F353" s="3" t="s">
        <v>143</v>
      </c>
      <c r="G353" s="3" t="s">
        <v>69</v>
      </c>
      <c r="H353" s="3" t="n">
        <v>0.83</v>
      </c>
      <c r="I353" s="13" t="n">
        <f aca="false">IF(G353=E353,1,0)</f>
        <v>0</v>
      </c>
      <c r="K353" s="13" t="n">
        <f aca="false">IF(G353=E353,1,0)</f>
        <v>0</v>
      </c>
      <c r="L353" s="13" t="n">
        <f aca="false">IF(F353=C353,1,0)</f>
        <v>0</v>
      </c>
    </row>
    <row r="354" customFormat="false" ht="15.75" hidden="false" customHeight="false" outlineLevel="0" collapsed="false">
      <c r="A354" s="3" t="n">
        <v>353</v>
      </c>
      <c r="B354" s="3" t="s">
        <v>556</v>
      </c>
      <c r="C354" s="3" t="s">
        <v>105</v>
      </c>
      <c r="D354" s="3" t="s">
        <v>61</v>
      </c>
      <c r="E354" s="3" t="s">
        <v>61</v>
      </c>
      <c r="F354" s="3" t="s">
        <v>105</v>
      </c>
      <c r="G354" s="3" t="s">
        <v>61</v>
      </c>
      <c r="H354" s="3" t="n">
        <v>0.825</v>
      </c>
      <c r="I354" s="13" t="n">
        <f aca="false">IF(G354=E354,1,0)</f>
        <v>1</v>
      </c>
      <c r="K354" s="13" t="n">
        <f aca="false">IF(G354=E354,1,0)</f>
        <v>1</v>
      </c>
      <c r="L354" s="13" t="n">
        <f aca="false">IF(F354=C354,1,0)</f>
        <v>1</v>
      </c>
    </row>
    <row r="355" customFormat="false" ht="15.75" hidden="false" customHeight="false" outlineLevel="0" collapsed="false">
      <c r="A355" s="3" t="n">
        <v>354</v>
      </c>
      <c r="B355" s="3" t="s">
        <v>557</v>
      </c>
      <c r="C355" s="3" t="s">
        <v>105</v>
      </c>
      <c r="D355" s="3" t="s">
        <v>61</v>
      </c>
      <c r="E355" s="3" t="s">
        <v>61</v>
      </c>
      <c r="F355" s="3" t="s">
        <v>105</v>
      </c>
      <c r="G355" s="3" t="s">
        <v>61</v>
      </c>
      <c r="H355" s="3" t="n">
        <v>0.825</v>
      </c>
      <c r="I355" s="13" t="n">
        <f aca="false">IF(G355=E355,1,0)</f>
        <v>1</v>
      </c>
      <c r="K355" s="13" t="n">
        <f aca="false">IF(G355=E355,1,0)</f>
        <v>1</v>
      </c>
      <c r="L355" s="13" t="n">
        <f aca="false">IF(F355=C355,1,0)</f>
        <v>1</v>
      </c>
    </row>
    <row r="356" customFormat="false" ht="15.75" hidden="false" customHeight="false" outlineLevel="0" collapsed="false">
      <c r="A356" s="3" t="n">
        <v>355</v>
      </c>
      <c r="B356" s="3" t="s">
        <v>558</v>
      </c>
      <c r="C356" s="3" t="s">
        <v>105</v>
      </c>
      <c r="D356" s="3" t="s">
        <v>77</v>
      </c>
      <c r="E356" s="3" t="s">
        <v>77</v>
      </c>
      <c r="F356" s="3" t="s">
        <v>105</v>
      </c>
      <c r="G356" s="3" t="s">
        <v>77</v>
      </c>
      <c r="H356" s="3" t="n">
        <v>0.82</v>
      </c>
      <c r="I356" s="13" t="n">
        <f aca="false">IF(G356=E356,1,0)</f>
        <v>1</v>
      </c>
      <c r="K356" s="13" t="n">
        <f aca="false">IF(G356=E356,1,0)</f>
        <v>1</v>
      </c>
      <c r="L356" s="13" t="n">
        <f aca="false">IF(F356=C356,1,0)</f>
        <v>1</v>
      </c>
    </row>
    <row r="357" customFormat="false" ht="15.75" hidden="false" customHeight="false" outlineLevel="0" collapsed="false">
      <c r="A357" s="3" t="n">
        <v>356</v>
      </c>
      <c r="B357" s="3" t="s">
        <v>559</v>
      </c>
      <c r="C357" s="3" t="s">
        <v>143</v>
      </c>
      <c r="D357" s="3" t="s">
        <v>288</v>
      </c>
      <c r="E357" s="3" t="s">
        <v>288</v>
      </c>
      <c r="F357" s="3" t="s">
        <v>105</v>
      </c>
      <c r="G357" s="3" t="s">
        <v>61</v>
      </c>
      <c r="H357" s="3" t="n">
        <v>0.818</v>
      </c>
      <c r="I357" s="13" t="n">
        <f aca="false">IF(G357=E357,1,0)</f>
        <v>0</v>
      </c>
      <c r="J357" s="3" t="s">
        <v>257</v>
      </c>
    </row>
    <row r="358" customFormat="false" ht="15.75" hidden="false" customHeight="false" outlineLevel="0" collapsed="false">
      <c r="A358" s="3" t="n">
        <v>357</v>
      </c>
      <c r="B358" s="3" t="s">
        <v>560</v>
      </c>
      <c r="C358" s="3" t="s">
        <v>105</v>
      </c>
      <c r="D358" s="3" t="s">
        <v>77</v>
      </c>
      <c r="E358" s="3" t="s">
        <v>77</v>
      </c>
      <c r="F358" s="3" t="s">
        <v>150</v>
      </c>
      <c r="G358" s="3" t="s">
        <v>83</v>
      </c>
      <c r="H358" s="3" t="n">
        <v>0.816</v>
      </c>
      <c r="I358" s="13" t="n">
        <f aca="false">IF(G358=E358,1,0)</f>
        <v>0</v>
      </c>
      <c r="K358" s="13" t="n">
        <f aca="false">IF(G358=E358,1,0)</f>
        <v>0</v>
      </c>
      <c r="L358" s="13" t="n">
        <f aca="false">IF(F358=C358,1,0)</f>
        <v>0</v>
      </c>
    </row>
    <row r="359" customFormat="false" ht="15.75" hidden="false" customHeight="false" outlineLevel="0" collapsed="false">
      <c r="A359" s="3" t="n">
        <v>358</v>
      </c>
      <c r="B359" s="3" t="s">
        <v>561</v>
      </c>
      <c r="C359" s="3" t="s">
        <v>105</v>
      </c>
      <c r="D359" s="3" t="s">
        <v>61</v>
      </c>
      <c r="E359" s="3" t="s">
        <v>61</v>
      </c>
      <c r="F359" s="3" t="s">
        <v>143</v>
      </c>
      <c r="G359" s="3" t="s">
        <v>69</v>
      </c>
      <c r="H359" s="3" t="n">
        <v>0.816</v>
      </c>
      <c r="I359" s="13" t="n">
        <f aca="false">IF(G359=E359,1,0)</f>
        <v>0</v>
      </c>
      <c r="K359" s="13" t="n">
        <f aca="false">IF(G359=E359,1,0)</f>
        <v>0</v>
      </c>
      <c r="L359" s="13" t="n">
        <f aca="false">IF(F359=C359,1,0)</f>
        <v>0</v>
      </c>
    </row>
    <row r="360" customFormat="false" ht="15.75" hidden="false" customHeight="false" outlineLevel="0" collapsed="false">
      <c r="A360" s="3" t="n">
        <v>359</v>
      </c>
      <c r="B360" s="3" t="s">
        <v>562</v>
      </c>
      <c r="C360" s="3" t="s">
        <v>105</v>
      </c>
      <c r="D360" s="3" t="s">
        <v>61</v>
      </c>
      <c r="E360" s="3" t="s">
        <v>61</v>
      </c>
      <c r="F360" s="3" t="s">
        <v>150</v>
      </c>
      <c r="G360" s="3" t="s">
        <v>83</v>
      </c>
      <c r="H360" s="3" t="n">
        <v>0.816</v>
      </c>
      <c r="I360" s="13" t="n">
        <f aca="false">IF(G360=E360,1,0)</f>
        <v>0</v>
      </c>
      <c r="K360" s="13" t="n">
        <f aca="false">IF(G360=E360,1,0)</f>
        <v>0</v>
      </c>
      <c r="L360" s="13" t="n">
        <f aca="false">IF(F360=C360,1,0)</f>
        <v>0</v>
      </c>
    </row>
    <row r="361" customFormat="false" ht="15.75" hidden="false" customHeight="false" outlineLevel="0" collapsed="false">
      <c r="A361" s="3" t="n">
        <v>360</v>
      </c>
      <c r="B361" s="3" t="s">
        <v>563</v>
      </c>
      <c r="C361" s="3" t="s">
        <v>105</v>
      </c>
      <c r="D361" s="3" t="s">
        <v>61</v>
      </c>
      <c r="E361" s="3" t="s">
        <v>61</v>
      </c>
      <c r="F361" s="3" t="s">
        <v>150</v>
      </c>
      <c r="G361" s="3" t="s">
        <v>83</v>
      </c>
      <c r="H361" s="3" t="n">
        <v>0.815</v>
      </c>
      <c r="I361" s="13" t="n">
        <f aca="false">IF(G361=E361,1,0)</f>
        <v>0</v>
      </c>
      <c r="K361" s="13" t="n">
        <f aca="false">IF(G361=E361,1,0)</f>
        <v>0</v>
      </c>
      <c r="L361" s="13" t="n">
        <f aca="false">IF(F361=C361,1,0)</f>
        <v>0</v>
      </c>
    </row>
    <row r="362" customFormat="false" ht="15.75" hidden="false" customHeight="false" outlineLevel="0" collapsed="false">
      <c r="A362" s="3" t="n">
        <v>361</v>
      </c>
      <c r="B362" s="3" t="s">
        <v>564</v>
      </c>
      <c r="C362" s="3" t="s">
        <v>532</v>
      </c>
      <c r="F362" s="3" t="s">
        <v>143</v>
      </c>
      <c r="G362" s="3" t="s">
        <v>79</v>
      </c>
      <c r="H362" s="3" t="n">
        <v>0.813</v>
      </c>
      <c r="I362" s="13" t="n">
        <f aca="false">IF(G362=E362,1,0)</f>
        <v>0</v>
      </c>
      <c r="J362" s="3" t="s">
        <v>257</v>
      </c>
    </row>
    <row r="363" customFormat="false" ht="15.75" hidden="false" customHeight="false" outlineLevel="0" collapsed="false">
      <c r="A363" s="3" t="n">
        <v>362</v>
      </c>
      <c r="B363" s="3" t="s">
        <v>565</v>
      </c>
      <c r="C363" s="3" t="s">
        <v>143</v>
      </c>
      <c r="D363" s="3" t="s">
        <v>288</v>
      </c>
      <c r="E363" s="3" t="s">
        <v>288</v>
      </c>
      <c r="F363" s="3" t="s">
        <v>105</v>
      </c>
      <c r="G363" s="3" t="s">
        <v>61</v>
      </c>
      <c r="H363" s="3" t="n">
        <v>0.811</v>
      </c>
      <c r="I363" s="13" t="n">
        <f aca="false">IF(G363=E363,1,0)</f>
        <v>0</v>
      </c>
      <c r="J363" s="3" t="s">
        <v>257</v>
      </c>
    </row>
    <row r="364" customFormat="false" ht="15.75" hidden="false" customHeight="false" outlineLevel="0" collapsed="false">
      <c r="A364" s="3" t="n">
        <v>363</v>
      </c>
      <c r="B364" s="3" t="s">
        <v>566</v>
      </c>
      <c r="C364" s="3" t="s">
        <v>150</v>
      </c>
      <c r="D364" s="3" t="s">
        <v>254</v>
      </c>
      <c r="E364" s="3" t="s">
        <v>85</v>
      </c>
      <c r="F364" s="3" t="s">
        <v>105</v>
      </c>
      <c r="G364" s="3" t="s">
        <v>61</v>
      </c>
      <c r="H364" s="3" t="n">
        <v>0.808</v>
      </c>
      <c r="I364" s="13" t="n">
        <f aca="false">IF(G364=E364,1,0)</f>
        <v>0</v>
      </c>
      <c r="K364" s="13" t="n">
        <f aca="false">IF(G364=E364,1,0)</f>
        <v>0</v>
      </c>
      <c r="L364" s="13" t="n">
        <f aca="false">IF(F364=C364,1,0)</f>
        <v>0</v>
      </c>
    </row>
    <row r="365" customFormat="false" ht="15.75" hidden="false" customHeight="false" outlineLevel="0" collapsed="false">
      <c r="A365" s="3" t="n">
        <v>364</v>
      </c>
      <c r="B365" s="3" t="s">
        <v>567</v>
      </c>
      <c r="C365" s="3" t="s">
        <v>143</v>
      </c>
      <c r="D365" s="3" t="s">
        <v>198</v>
      </c>
      <c r="E365" s="3" t="s">
        <v>67</v>
      </c>
      <c r="F365" s="3" t="s">
        <v>143</v>
      </c>
      <c r="G365" s="3" t="s">
        <v>67</v>
      </c>
      <c r="H365" s="3" t="n">
        <v>0.807</v>
      </c>
      <c r="I365" s="13" t="n">
        <f aca="false">IF(G365=E365,1,0)</f>
        <v>1</v>
      </c>
      <c r="K365" s="13" t="n">
        <f aca="false">IF(G365=E365,1,0)</f>
        <v>1</v>
      </c>
      <c r="L365" s="13" t="n">
        <f aca="false">IF(F365=C365,1,0)</f>
        <v>1</v>
      </c>
    </row>
    <row r="366" customFormat="false" ht="15.75" hidden="false" customHeight="false" outlineLevel="0" collapsed="false">
      <c r="A366" s="3" t="n">
        <v>365</v>
      </c>
      <c r="B366" s="3" t="s">
        <v>568</v>
      </c>
      <c r="C366" s="3" t="s">
        <v>133</v>
      </c>
      <c r="D366" s="3" t="s">
        <v>65</v>
      </c>
      <c r="E366" s="3" t="s">
        <v>65</v>
      </c>
      <c r="F366" s="3" t="s">
        <v>133</v>
      </c>
      <c r="G366" s="3" t="s">
        <v>65</v>
      </c>
      <c r="H366" s="3" t="n">
        <v>0.805</v>
      </c>
      <c r="I366" s="13" t="n">
        <f aca="false">IF(G366=E366,1,0)</f>
        <v>1</v>
      </c>
      <c r="K366" s="13" t="n">
        <f aca="false">IF(G366=E366,1,0)</f>
        <v>1</v>
      </c>
      <c r="L366" s="13" t="n">
        <f aca="false">IF(F366=C366,1,0)</f>
        <v>1</v>
      </c>
    </row>
    <row r="367" customFormat="false" ht="15.75" hidden="false" customHeight="false" outlineLevel="0" collapsed="false">
      <c r="A367" s="3" t="n">
        <v>366</v>
      </c>
      <c r="B367" s="3" t="s">
        <v>569</v>
      </c>
      <c r="C367" s="3" t="s">
        <v>105</v>
      </c>
      <c r="D367" s="3" t="s">
        <v>61</v>
      </c>
      <c r="E367" s="3" t="s">
        <v>61</v>
      </c>
      <c r="F367" s="3" t="s">
        <v>150</v>
      </c>
      <c r="G367" s="3" t="s">
        <v>63</v>
      </c>
      <c r="H367" s="3" t="n">
        <v>0.805</v>
      </c>
      <c r="I367" s="13" t="n">
        <f aca="false">IF(G367=E367,1,0)</f>
        <v>0</v>
      </c>
      <c r="K367" s="13" t="n">
        <f aca="false">IF(G367=E367,1,0)</f>
        <v>0</v>
      </c>
      <c r="L367" s="13" t="n">
        <f aca="false">IF(F367=C367,1,0)</f>
        <v>0</v>
      </c>
    </row>
    <row r="368" customFormat="false" ht="15.75" hidden="false" customHeight="false" outlineLevel="0" collapsed="false">
      <c r="A368" s="3" t="n">
        <v>367</v>
      </c>
      <c r="B368" s="3" t="s">
        <v>570</v>
      </c>
      <c r="C368" s="3" t="s">
        <v>105</v>
      </c>
      <c r="D368" s="3" t="s">
        <v>61</v>
      </c>
      <c r="E368" s="3" t="s">
        <v>61</v>
      </c>
      <c r="F368" s="3" t="s">
        <v>133</v>
      </c>
      <c r="G368" s="3" t="s">
        <v>65</v>
      </c>
      <c r="H368" s="3" t="n">
        <v>0.805</v>
      </c>
      <c r="I368" s="13" t="n">
        <f aca="false">IF(G368=E368,1,0)</f>
        <v>0</v>
      </c>
      <c r="K368" s="13" t="n">
        <f aca="false">IF(G368=E368,1,0)</f>
        <v>0</v>
      </c>
      <c r="L368" s="13" t="n">
        <f aca="false">IF(F368=C368,1,0)</f>
        <v>0</v>
      </c>
    </row>
    <row r="369" customFormat="false" ht="15.75" hidden="false" customHeight="false" outlineLevel="0" collapsed="false">
      <c r="A369" s="3" t="n">
        <v>368</v>
      </c>
      <c r="B369" s="3" t="s">
        <v>571</v>
      </c>
      <c r="C369" s="3" t="s">
        <v>105</v>
      </c>
      <c r="D369" s="3" t="s">
        <v>61</v>
      </c>
      <c r="E369" s="3" t="s">
        <v>61</v>
      </c>
      <c r="F369" s="3" t="s">
        <v>105</v>
      </c>
      <c r="G369" s="3" t="s">
        <v>61</v>
      </c>
      <c r="H369" s="3" t="n">
        <v>0.804</v>
      </c>
      <c r="I369" s="13" t="n">
        <f aca="false">IF(G369=E369,1,0)</f>
        <v>1</v>
      </c>
      <c r="K369" s="13" t="n">
        <f aca="false">IF(G369=E369,1,0)</f>
        <v>1</v>
      </c>
      <c r="L369" s="13" t="n">
        <f aca="false">IF(F369=C369,1,0)</f>
        <v>1</v>
      </c>
    </row>
    <row r="370" customFormat="false" ht="15.75" hidden="false" customHeight="false" outlineLevel="0" collapsed="false">
      <c r="A370" s="3" t="n">
        <v>369</v>
      </c>
      <c r="B370" s="3" t="s">
        <v>572</v>
      </c>
      <c r="C370" s="3" t="s">
        <v>105</v>
      </c>
      <c r="D370" s="3" t="s">
        <v>61</v>
      </c>
      <c r="E370" s="3" t="s">
        <v>61</v>
      </c>
      <c r="F370" s="3" t="s">
        <v>150</v>
      </c>
      <c r="G370" s="3" t="s">
        <v>83</v>
      </c>
      <c r="H370" s="3" t="n">
        <v>0.803</v>
      </c>
      <c r="I370" s="13" t="n">
        <f aca="false">IF(G370=E370,1,0)</f>
        <v>0</v>
      </c>
      <c r="K370" s="13" t="n">
        <f aca="false">IF(G370=E370,1,0)</f>
        <v>0</v>
      </c>
      <c r="L370" s="13" t="n">
        <f aca="false">IF(F370=C370,1,0)</f>
        <v>0</v>
      </c>
    </row>
    <row r="371" customFormat="false" ht="15.75" hidden="false" customHeight="false" outlineLevel="0" collapsed="false">
      <c r="A371" s="3" t="n">
        <v>370</v>
      </c>
      <c r="B371" s="3" t="s">
        <v>573</v>
      </c>
      <c r="C371" s="3" t="s">
        <v>105</v>
      </c>
      <c r="D371" s="3" t="s">
        <v>61</v>
      </c>
      <c r="E371" s="3" t="s">
        <v>61</v>
      </c>
      <c r="F371" s="3" t="s">
        <v>105</v>
      </c>
      <c r="G371" s="3" t="s">
        <v>61</v>
      </c>
      <c r="H371" s="3" t="n">
        <v>0.8</v>
      </c>
      <c r="I371" s="13" t="n">
        <f aca="false">IF(G371=E371,1,0)</f>
        <v>1</v>
      </c>
      <c r="K371" s="13" t="n">
        <f aca="false">IF(G371=E371,1,0)</f>
        <v>1</v>
      </c>
      <c r="L371" s="13" t="n">
        <f aca="false">IF(F371=C371,1,0)</f>
        <v>1</v>
      </c>
    </row>
    <row r="372" customFormat="false" ht="15.75" hidden="false" customHeight="false" outlineLevel="0" collapsed="false">
      <c r="A372" s="3" t="n">
        <v>371</v>
      </c>
      <c r="B372" s="3" t="s">
        <v>574</v>
      </c>
      <c r="C372" s="3" t="s">
        <v>105</v>
      </c>
      <c r="D372" s="3" t="s">
        <v>61</v>
      </c>
      <c r="E372" s="3" t="s">
        <v>61</v>
      </c>
      <c r="F372" s="3" t="s">
        <v>105</v>
      </c>
      <c r="G372" s="3" t="s">
        <v>61</v>
      </c>
      <c r="H372" s="3" t="n">
        <v>0.799</v>
      </c>
      <c r="I372" s="13" t="n">
        <f aca="false">IF(G372=E372,1,0)</f>
        <v>1</v>
      </c>
      <c r="K372" s="13" t="n">
        <f aca="false">IF(G372=E372,1,0)</f>
        <v>1</v>
      </c>
      <c r="L372" s="13" t="n">
        <f aca="false">IF(F372=C372,1,0)</f>
        <v>1</v>
      </c>
    </row>
    <row r="373" customFormat="false" ht="15.75" hidden="false" customHeight="false" outlineLevel="0" collapsed="false">
      <c r="A373" s="3" t="n">
        <v>372</v>
      </c>
      <c r="B373" s="3" t="s">
        <v>575</v>
      </c>
      <c r="C373" s="3" t="s">
        <v>105</v>
      </c>
      <c r="D373" s="3" t="s">
        <v>61</v>
      </c>
      <c r="E373" s="3" t="s">
        <v>61</v>
      </c>
      <c r="F373" s="3" t="s">
        <v>105</v>
      </c>
      <c r="G373" s="3" t="s">
        <v>61</v>
      </c>
      <c r="H373" s="3" t="n">
        <v>0.799</v>
      </c>
      <c r="I373" s="13" t="n">
        <f aca="false">IF(G373=E373,1,0)</f>
        <v>1</v>
      </c>
      <c r="K373" s="13" t="n">
        <f aca="false">IF(G373=E373,1,0)</f>
        <v>1</v>
      </c>
      <c r="L373" s="13" t="n">
        <f aca="false">IF(F373=C373,1,0)</f>
        <v>1</v>
      </c>
    </row>
    <row r="374" customFormat="false" ht="15.75" hidden="false" customHeight="false" outlineLevel="0" collapsed="false">
      <c r="A374" s="3" t="n">
        <v>373</v>
      </c>
      <c r="B374" s="3" t="s">
        <v>576</v>
      </c>
      <c r="C374" s="3" t="s">
        <v>105</v>
      </c>
      <c r="D374" s="3" t="s">
        <v>61</v>
      </c>
      <c r="E374" s="3" t="s">
        <v>61</v>
      </c>
      <c r="F374" s="3" t="s">
        <v>105</v>
      </c>
      <c r="G374" s="3" t="s">
        <v>61</v>
      </c>
      <c r="H374" s="3" t="n">
        <v>0.798</v>
      </c>
      <c r="I374" s="13" t="n">
        <f aca="false">IF(G374=E374,1,0)</f>
        <v>1</v>
      </c>
      <c r="K374" s="13" t="n">
        <f aca="false">IF(G374=E374,1,0)</f>
        <v>1</v>
      </c>
      <c r="L374" s="13" t="n">
        <f aca="false">IF(F374=C374,1,0)</f>
        <v>1</v>
      </c>
    </row>
    <row r="375" customFormat="false" ht="15.75" hidden="false" customHeight="false" outlineLevel="0" collapsed="false">
      <c r="A375" s="3" t="n">
        <v>374</v>
      </c>
      <c r="B375" s="3" t="s">
        <v>577</v>
      </c>
      <c r="C375" s="3" t="s">
        <v>143</v>
      </c>
      <c r="D375" s="3" t="s">
        <v>256</v>
      </c>
      <c r="E375" s="3" t="s">
        <v>256</v>
      </c>
      <c r="F375" s="3" t="s">
        <v>143</v>
      </c>
      <c r="G375" s="3" t="s">
        <v>67</v>
      </c>
      <c r="H375" s="3" t="n">
        <v>0.797</v>
      </c>
      <c r="I375" s="13" t="n">
        <f aca="false">IF(G375=E375,1,0)</f>
        <v>0</v>
      </c>
      <c r="K375" s="13" t="n">
        <f aca="false">IF(G375=E375,1,0)</f>
        <v>0</v>
      </c>
      <c r="L375" s="13" t="n">
        <f aca="false">IF(F375=C375,1,0)</f>
        <v>1</v>
      </c>
    </row>
    <row r="376" customFormat="false" ht="15.75" hidden="false" customHeight="false" outlineLevel="0" collapsed="false">
      <c r="A376" s="3" t="n">
        <v>375</v>
      </c>
      <c r="B376" s="3" t="s">
        <v>578</v>
      </c>
      <c r="C376" s="3" t="s">
        <v>105</v>
      </c>
      <c r="D376" s="3" t="s">
        <v>61</v>
      </c>
      <c r="E376" s="3" t="s">
        <v>61</v>
      </c>
      <c r="F376" s="3" t="s">
        <v>150</v>
      </c>
      <c r="G376" s="3" t="s">
        <v>63</v>
      </c>
      <c r="H376" s="3" t="n">
        <v>0.797</v>
      </c>
      <c r="I376" s="13" t="n">
        <f aca="false">IF(G376=E376,1,0)</f>
        <v>0</v>
      </c>
      <c r="K376" s="13" t="n">
        <f aca="false">IF(G376=E376,1,0)</f>
        <v>0</v>
      </c>
      <c r="L376" s="13" t="n">
        <f aca="false">IF(F376=C376,1,0)</f>
        <v>0</v>
      </c>
    </row>
    <row r="377" customFormat="false" ht="15.75" hidden="false" customHeight="false" outlineLevel="0" collapsed="false">
      <c r="A377" s="3" t="n">
        <v>376</v>
      </c>
      <c r="B377" s="3" t="s">
        <v>579</v>
      </c>
      <c r="C377" s="3" t="s">
        <v>150</v>
      </c>
      <c r="D377" s="3" t="s">
        <v>75</v>
      </c>
      <c r="E377" s="3" t="s">
        <v>75</v>
      </c>
      <c r="F377" s="3" t="s">
        <v>143</v>
      </c>
      <c r="G377" s="3" t="s">
        <v>79</v>
      </c>
      <c r="H377" s="3" t="n">
        <v>0.794</v>
      </c>
      <c r="I377" s="13" t="n">
        <f aca="false">IF(G377=E377,1,0)</f>
        <v>0</v>
      </c>
      <c r="K377" s="13" t="n">
        <f aca="false">IF(G377=E377,1,0)</f>
        <v>0</v>
      </c>
      <c r="L377" s="13" t="n">
        <f aca="false">IF(F377=C377,1,0)</f>
        <v>0</v>
      </c>
    </row>
    <row r="378" customFormat="false" ht="15.75" hidden="false" customHeight="false" outlineLevel="0" collapsed="false">
      <c r="A378" s="3" t="n">
        <v>377</v>
      </c>
      <c r="B378" s="3" t="s">
        <v>580</v>
      </c>
      <c r="C378" s="3" t="s">
        <v>105</v>
      </c>
      <c r="D378" s="3" t="s">
        <v>61</v>
      </c>
      <c r="E378" s="3" t="s">
        <v>61</v>
      </c>
      <c r="F378" s="3" t="s">
        <v>105</v>
      </c>
      <c r="G378" s="3" t="s">
        <v>59</v>
      </c>
      <c r="H378" s="3" t="n">
        <v>0.792</v>
      </c>
      <c r="I378" s="13" t="n">
        <f aca="false">IF(G378=E378,1,0)</f>
        <v>0</v>
      </c>
      <c r="K378" s="13" t="n">
        <f aca="false">IF(G378=E378,1,0)</f>
        <v>0</v>
      </c>
      <c r="L378" s="13" t="n">
        <f aca="false">IF(F378=C378,1,0)</f>
        <v>1</v>
      </c>
    </row>
    <row r="379" customFormat="false" ht="15.75" hidden="false" customHeight="false" outlineLevel="0" collapsed="false">
      <c r="A379" s="3" t="n">
        <v>378</v>
      </c>
      <c r="B379" s="3" t="s">
        <v>581</v>
      </c>
      <c r="C379" s="3" t="s">
        <v>105</v>
      </c>
      <c r="D379" s="3" t="s">
        <v>61</v>
      </c>
      <c r="E379" s="3" t="s">
        <v>61</v>
      </c>
      <c r="F379" s="3" t="s">
        <v>150</v>
      </c>
      <c r="G379" s="3" t="s">
        <v>63</v>
      </c>
      <c r="H379" s="3" t="n">
        <v>0.79</v>
      </c>
      <c r="I379" s="13" t="n">
        <f aca="false">IF(G379=E379,1,0)</f>
        <v>0</v>
      </c>
      <c r="K379" s="13" t="n">
        <f aca="false">IF(G379=E379,1,0)</f>
        <v>0</v>
      </c>
      <c r="L379" s="13" t="n">
        <f aca="false">IF(F379=C379,1,0)</f>
        <v>0</v>
      </c>
    </row>
    <row r="380" customFormat="false" ht="15.75" hidden="false" customHeight="false" outlineLevel="0" collapsed="false">
      <c r="A380" s="3" t="n">
        <v>379</v>
      </c>
      <c r="B380" s="3" t="s">
        <v>582</v>
      </c>
      <c r="C380" s="3" t="s">
        <v>105</v>
      </c>
      <c r="D380" s="3" t="s">
        <v>61</v>
      </c>
      <c r="E380" s="3" t="s">
        <v>61</v>
      </c>
      <c r="F380" s="3" t="s">
        <v>105</v>
      </c>
      <c r="G380" s="3" t="s">
        <v>61</v>
      </c>
      <c r="H380" s="3" t="n">
        <v>0.786</v>
      </c>
      <c r="I380" s="13" t="n">
        <f aca="false">IF(G380=E380,1,0)</f>
        <v>1</v>
      </c>
      <c r="K380" s="13" t="n">
        <f aca="false">IF(G380=E380,1,0)</f>
        <v>1</v>
      </c>
      <c r="L380" s="13" t="n">
        <f aca="false">IF(F380=C380,1,0)</f>
        <v>1</v>
      </c>
    </row>
    <row r="381" customFormat="false" ht="15.75" hidden="false" customHeight="false" outlineLevel="0" collapsed="false">
      <c r="A381" s="3" t="n">
        <v>380</v>
      </c>
      <c r="B381" s="3" t="s">
        <v>583</v>
      </c>
      <c r="C381" s="3" t="s">
        <v>105</v>
      </c>
      <c r="D381" s="3" t="s">
        <v>61</v>
      </c>
      <c r="E381" s="3" t="s">
        <v>61</v>
      </c>
      <c r="F381" s="3" t="s">
        <v>150</v>
      </c>
      <c r="G381" s="3" t="s">
        <v>63</v>
      </c>
      <c r="H381" s="3" t="n">
        <v>0.786</v>
      </c>
      <c r="I381" s="13" t="n">
        <f aca="false">IF(G381=E381,1,0)</f>
        <v>0</v>
      </c>
      <c r="K381" s="13" t="n">
        <f aca="false">IF(G381=E381,1,0)</f>
        <v>0</v>
      </c>
      <c r="L381" s="13" t="n">
        <f aca="false">IF(F381=C381,1,0)</f>
        <v>0</v>
      </c>
    </row>
    <row r="382" customFormat="false" ht="15.75" hidden="false" customHeight="false" outlineLevel="0" collapsed="false">
      <c r="A382" s="3" t="n">
        <v>381</v>
      </c>
      <c r="B382" s="3" t="s">
        <v>584</v>
      </c>
      <c r="C382" s="3" t="s">
        <v>105</v>
      </c>
      <c r="D382" s="3" t="s">
        <v>77</v>
      </c>
      <c r="E382" s="3" t="s">
        <v>77</v>
      </c>
      <c r="F382" s="3" t="s">
        <v>143</v>
      </c>
      <c r="G382" s="3" t="s">
        <v>79</v>
      </c>
      <c r="H382" s="3" t="n">
        <v>0.776</v>
      </c>
      <c r="I382" s="13" t="n">
        <f aca="false">IF(G382=E382,1,0)</f>
        <v>0</v>
      </c>
      <c r="K382" s="13" t="n">
        <f aca="false">IF(G382=E382,1,0)</f>
        <v>0</v>
      </c>
      <c r="L382" s="13" t="n">
        <f aca="false">IF(F382=C382,1,0)</f>
        <v>0</v>
      </c>
    </row>
    <row r="383" customFormat="false" ht="15.75" hidden="false" customHeight="false" outlineLevel="0" collapsed="false">
      <c r="A383" s="3" t="n">
        <v>382</v>
      </c>
      <c r="B383" s="3" t="s">
        <v>585</v>
      </c>
      <c r="C383" s="3" t="s">
        <v>133</v>
      </c>
      <c r="D383" s="3" t="s">
        <v>65</v>
      </c>
      <c r="E383" s="3" t="s">
        <v>65</v>
      </c>
      <c r="F383" s="3" t="s">
        <v>133</v>
      </c>
      <c r="G383" s="3" t="s">
        <v>65</v>
      </c>
      <c r="H383" s="3" t="n">
        <v>0.775</v>
      </c>
      <c r="I383" s="13" t="n">
        <f aca="false">IF(G383=E383,1,0)</f>
        <v>1</v>
      </c>
      <c r="K383" s="13" t="n">
        <f aca="false">IF(G383=E383,1,0)</f>
        <v>1</v>
      </c>
      <c r="L383" s="13" t="n">
        <f aca="false">IF(F383=C383,1,0)</f>
        <v>1</v>
      </c>
    </row>
    <row r="384" customFormat="false" ht="15.75" hidden="false" customHeight="false" outlineLevel="0" collapsed="false">
      <c r="A384" s="3" t="n">
        <v>383</v>
      </c>
      <c r="B384" s="3" t="s">
        <v>586</v>
      </c>
      <c r="C384" s="3" t="s">
        <v>105</v>
      </c>
      <c r="D384" s="3" t="s">
        <v>61</v>
      </c>
      <c r="E384" s="3" t="s">
        <v>61</v>
      </c>
      <c r="F384" s="3" t="s">
        <v>105</v>
      </c>
      <c r="G384" s="3" t="s">
        <v>61</v>
      </c>
      <c r="H384" s="3" t="n">
        <v>0.775</v>
      </c>
      <c r="I384" s="13" t="n">
        <f aca="false">IF(G384=E384,1,0)</f>
        <v>1</v>
      </c>
      <c r="K384" s="13" t="n">
        <f aca="false">IF(G384=E384,1,0)</f>
        <v>1</v>
      </c>
      <c r="L384" s="13" t="n">
        <f aca="false">IF(F384=C384,1,0)</f>
        <v>1</v>
      </c>
    </row>
    <row r="385" customFormat="false" ht="15.75" hidden="false" customHeight="false" outlineLevel="0" collapsed="false">
      <c r="A385" s="3" t="n">
        <v>384</v>
      </c>
      <c r="B385" s="3" t="s">
        <v>587</v>
      </c>
      <c r="C385" s="3" t="s">
        <v>105</v>
      </c>
      <c r="D385" s="3" t="s">
        <v>77</v>
      </c>
      <c r="E385" s="3" t="s">
        <v>77</v>
      </c>
      <c r="F385" s="3" t="s">
        <v>105</v>
      </c>
      <c r="G385" s="3" t="s">
        <v>77</v>
      </c>
      <c r="H385" s="3" t="n">
        <v>0.77</v>
      </c>
      <c r="I385" s="13" t="n">
        <f aca="false">IF(G385=E385,1,0)</f>
        <v>1</v>
      </c>
      <c r="K385" s="13" t="n">
        <f aca="false">IF(G385=E385,1,0)</f>
        <v>1</v>
      </c>
      <c r="L385" s="13" t="n">
        <f aca="false">IF(F385=C385,1,0)</f>
        <v>1</v>
      </c>
    </row>
    <row r="386" customFormat="false" ht="15.75" hidden="false" customHeight="false" outlineLevel="0" collapsed="false">
      <c r="A386" s="3" t="n">
        <v>385</v>
      </c>
      <c r="B386" s="3" t="s">
        <v>588</v>
      </c>
      <c r="C386" s="3" t="s">
        <v>143</v>
      </c>
      <c r="D386" s="3" t="s">
        <v>589</v>
      </c>
      <c r="E386" s="3" t="s">
        <v>589</v>
      </c>
      <c r="F386" s="3" t="s">
        <v>143</v>
      </c>
      <c r="G386" s="3" t="s">
        <v>69</v>
      </c>
      <c r="H386" s="3" t="n">
        <v>0.769</v>
      </c>
      <c r="I386" s="13" t="n">
        <f aca="false">IF(G386=E386,1,0)</f>
        <v>0</v>
      </c>
      <c r="J386" s="3" t="s">
        <v>257</v>
      </c>
    </row>
    <row r="387" customFormat="false" ht="15.75" hidden="false" customHeight="false" outlineLevel="0" collapsed="false">
      <c r="A387" s="3" t="n">
        <v>386</v>
      </c>
      <c r="B387" s="3" t="s">
        <v>590</v>
      </c>
      <c r="C387" s="3" t="s">
        <v>105</v>
      </c>
      <c r="D387" s="3" t="s">
        <v>61</v>
      </c>
      <c r="E387" s="3" t="s">
        <v>61</v>
      </c>
      <c r="F387" s="3" t="s">
        <v>105</v>
      </c>
      <c r="G387" s="3" t="s">
        <v>61</v>
      </c>
      <c r="H387" s="3" t="n">
        <v>0.768</v>
      </c>
      <c r="I387" s="13" t="n">
        <f aca="false">IF(G387=E387,1,0)</f>
        <v>1</v>
      </c>
      <c r="K387" s="13" t="n">
        <f aca="false">IF(G387=E387,1,0)</f>
        <v>1</v>
      </c>
      <c r="L387" s="13" t="n">
        <f aca="false">IF(F387=C387,1,0)</f>
        <v>1</v>
      </c>
    </row>
    <row r="388" customFormat="false" ht="15.75" hidden="false" customHeight="false" outlineLevel="0" collapsed="false">
      <c r="A388" s="3" t="n">
        <v>387</v>
      </c>
      <c r="B388" s="3" t="s">
        <v>591</v>
      </c>
      <c r="C388" s="3" t="s">
        <v>105</v>
      </c>
      <c r="D388" s="3" t="s">
        <v>61</v>
      </c>
      <c r="E388" s="3" t="s">
        <v>61</v>
      </c>
      <c r="F388" s="3" t="s">
        <v>105</v>
      </c>
      <c r="G388" s="3" t="s">
        <v>61</v>
      </c>
      <c r="H388" s="3" t="n">
        <v>0.767</v>
      </c>
      <c r="I388" s="13" t="n">
        <f aca="false">IF(G388=E388,1,0)</f>
        <v>1</v>
      </c>
      <c r="K388" s="13" t="n">
        <f aca="false">IF(G388=E388,1,0)</f>
        <v>1</v>
      </c>
      <c r="L388" s="13" t="n">
        <f aca="false">IF(F388=C388,1,0)</f>
        <v>1</v>
      </c>
    </row>
    <row r="389" customFormat="false" ht="15.75" hidden="false" customHeight="false" outlineLevel="0" collapsed="false">
      <c r="A389" s="3" t="n">
        <v>388</v>
      </c>
      <c r="B389" s="3" t="s">
        <v>592</v>
      </c>
      <c r="C389" s="3" t="s">
        <v>143</v>
      </c>
      <c r="D389" s="3" t="s">
        <v>198</v>
      </c>
      <c r="E389" s="3" t="s">
        <v>67</v>
      </c>
      <c r="F389" s="3" t="s">
        <v>133</v>
      </c>
      <c r="G389" s="3" t="s">
        <v>65</v>
      </c>
      <c r="H389" s="3" t="n">
        <v>0.767</v>
      </c>
      <c r="I389" s="13" t="n">
        <f aca="false">IF(G389=E389,1,0)</f>
        <v>0</v>
      </c>
      <c r="K389" s="13" t="n">
        <f aca="false">IF(G389=E389,1,0)</f>
        <v>0</v>
      </c>
      <c r="L389" s="13" t="n">
        <f aca="false">IF(F389=C389,1,0)</f>
        <v>0</v>
      </c>
    </row>
    <row r="390" customFormat="false" ht="15.75" hidden="false" customHeight="false" outlineLevel="0" collapsed="false">
      <c r="A390" s="3" t="n">
        <v>389</v>
      </c>
      <c r="B390" s="3" t="s">
        <v>593</v>
      </c>
      <c r="C390" s="3" t="s">
        <v>143</v>
      </c>
      <c r="D390" s="3" t="s">
        <v>198</v>
      </c>
      <c r="E390" s="3" t="s">
        <v>67</v>
      </c>
      <c r="F390" s="3" t="s">
        <v>150</v>
      </c>
      <c r="G390" s="3" t="s">
        <v>83</v>
      </c>
      <c r="H390" s="3" t="n">
        <v>0.767</v>
      </c>
      <c r="I390" s="13" t="n">
        <f aca="false">IF(G390=E390,1,0)</f>
        <v>0</v>
      </c>
      <c r="K390" s="13" t="n">
        <f aca="false">IF(G390=E390,1,0)</f>
        <v>0</v>
      </c>
      <c r="L390" s="13" t="n">
        <f aca="false">IF(F390=C390,1,0)</f>
        <v>0</v>
      </c>
    </row>
    <row r="391" customFormat="false" ht="15.75" hidden="false" customHeight="false" outlineLevel="0" collapsed="false">
      <c r="A391" s="3" t="n">
        <v>390</v>
      </c>
      <c r="B391" s="3" t="s">
        <v>594</v>
      </c>
      <c r="C391" s="3" t="s">
        <v>143</v>
      </c>
      <c r="D391" s="3" t="s">
        <v>198</v>
      </c>
      <c r="E391" s="3" t="s">
        <v>67</v>
      </c>
      <c r="F391" s="3" t="s">
        <v>133</v>
      </c>
      <c r="G391" s="3" t="s">
        <v>65</v>
      </c>
      <c r="H391" s="3" t="n">
        <v>0.767</v>
      </c>
      <c r="I391" s="13" t="n">
        <f aca="false">IF(G391=E391,1,0)</f>
        <v>0</v>
      </c>
      <c r="K391" s="13" t="n">
        <f aca="false">IF(G391=E391,1,0)</f>
        <v>0</v>
      </c>
      <c r="L391" s="13" t="n">
        <f aca="false">IF(F391=C391,1,0)</f>
        <v>0</v>
      </c>
    </row>
    <row r="392" customFormat="false" ht="15.75" hidden="false" customHeight="false" outlineLevel="0" collapsed="false">
      <c r="A392" s="3" t="n">
        <v>391</v>
      </c>
      <c r="B392" s="3" t="s">
        <v>595</v>
      </c>
      <c r="C392" s="3" t="s">
        <v>143</v>
      </c>
      <c r="D392" s="3" t="s">
        <v>198</v>
      </c>
      <c r="E392" s="3" t="s">
        <v>67</v>
      </c>
      <c r="F392" s="3" t="s">
        <v>143</v>
      </c>
      <c r="G392" s="3" t="s">
        <v>67</v>
      </c>
      <c r="H392" s="3" t="n">
        <v>0.765</v>
      </c>
      <c r="I392" s="13" t="n">
        <f aca="false">IF(G392=E392,1,0)</f>
        <v>1</v>
      </c>
      <c r="K392" s="13" t="n">
        <f aca="false">IF(G392=E392,1,0)</f>
        <v>1</v>
      </c>
      <c r="L392" s="13" t="n">
        <f aca="false">IF(F392=C392,1,0)</f>
        <v>1</v>
      </c>
    </row>
    <row r="393" customFormat="false" ht="15.75" hidden="false" customHeight="false" outlineLevel="0" collapsed="false">
      <c r="A393" s="3" t="n">
        <v>392</v>
      </c>
      <c r="B393" s="3" t="s">
        <v>596</v>
      </c>
      <c r="C393" s="3" t="s">
        <v>105</v>
      </c>
      <c r="D393" s="3" t="s">
        <v>55</v>
      </c>
      <c r="E393" s="3" t="s">
        <v>55</v>
      </c>
      <c r="F393" s="3" t="s">
        <v>105</v>
      </c>
      <c r="G393" s="3" t="s">
        <v>61</v>
      </c>
      <c r="H393" s="3" t="n">
        <v>0.763</v>
      </c>
      <c r="I393" s="13" t="n">
        <f aca="false">IF(G393=E393,1,0)</f>
        <v>0</v>
      </c>
      <c r="K393" s="13" t="n">
        <f aca="false">IF(G393=E393,1,0)</f>
        <v>0</v>
      </c>
      <c r="L393" s="13" t="n">
        <f aca="false">IF(F393=C393,1,0)</f>
        <v>1</v>
      </c>
    </row>
    <row r="394" customFormat="false" ht="15.75" hidden="false" customHeight="false" outlineLevel="0" collapsed="false">
      <c r="A394" s="3" t="n">
        <v>393</v>
      </c>
      <c r="B394" s="3" t="s">
        <v>597</v>
      </c>
      <c r="C394" s="3" t="s">
        <v>105</v>
      </c>
      <c r="D394" s="3" t="s">
        <v>61</v>
      </c>
      <c r="E394" s="3" t="s">
        <v>61</v>
      </c>
      <c r="F394" s="3" t="s">
        <v>105</v>
      </c>
      <c r="G394" s="3" t="s">
        <v>61</v>
      </c>
      <c r="H394" s="3" t="n">
        <v>0.761</v>
      </c>
      <c r="I394" s="13" t="n">
        <f aca="false">IF(G394=E394,1,0)</f>
        <v>1</v>
      </c>
      <c r="K394" s="13" t="n">
        <f aca="false">IF(G394=E394,1,0)</f>
        <v>1</v>
      </c>
      <c r="L394" s="13" t="n">
        <f aca="false">IF(F394=C394,1,0)</f>
        <v>1</v>
      </c>
    </row>
    <row r="395" customFormat="false" ht="15.75" hidden="false" customHeight="false" outlineLevel="0" collapsed="false">
      <c r="A395" s="3" t="n">
        <v>394</v>
      </c>
      <c r="B395" s="3" t="s">
        <v>598</v>
      </c>
      <c r="C395" s="3" t="s">
        <v>105</v>
      </c>
      <c r="D395" s="3" t="s">
        <v>61</v>
      </c>
      <c r="E395" s="3" t="s">
        <v>61</v>
      </c>
      <c r="F395" s="3" t="s">
        <v>133</v>
      </c>
      <c r="G395" s="3" t="s">
        <v>65</v>
      </c>
      <c r="H395" s="3" t="n">
        <v>0.76</v>
      </c>
      <c r="I395" s="13" t="n">
        <f aca="false">IF(G395=E395,1,0)</f>
        <v>0</v>
      </c>
      <c r="K395" s="13" t="n">
        <f aca="false">IF(G395=E395,1,0)</f>
        <v>0</v>
      </c>
      <c r="L395" s="13" t="n">
        <f aca="false">IF(F395=C395,1,0)</f>
        <v>0</v>
      </c>
    </row>
    <row r="396" customFormat="false" ht="15.75" hidden="false" customHeight="false" outlineLevel="0" collapsed="false">
      <c r="A396" s="3" t="n">
        <v>395</v>
      </c>
      <c r="B396" s="3" t="s">
        <v>599</v>
      </c>
      <c r="C396" s="3" t="s">
        <v>105</v>
      </c>
      <c r="D396" s="3" t="s">
        <v>77</v>
      </c>
      <c r="E396" s="3" t="s">
        <v>77</v>
      </c>
      <c r="F396" s="3" t="s">
        <v>105</v>
      </c>
      <c r="G396" s="3" t="s">
        <v>77</v>
      </c>
      <c r="H396" s="3" t="n">
        <v>0.757</v>
      </c>
      <c r="I396" s="13" t="n">
        <f aca="false">IF(G396=E396,1,0)</f>
        <v>1</v>
      </c>
      <c r="K396" s="13" t="n">
        <f aca="false">IF(G396=E396,1,0)</f>
        <v>1</v>
      </c>
      <c r="L396" s="13" t="n">
        <f aca="false">IF(F396=C396,1,0)</f>
        <v>1</v>
      </c>
    </row>
    <row r="397" customFormat="false" ht="15.75" hidden="false" customHeight="false" outlineLevel="0" collapsed="false">
      <c r="A397" s="3" t="n">
        <v>396</v>
      </c>
      <c r="B397" s="3" t="s">
        <v>600</v>
      </c>
      <c r="C397" s="3" t="s">
        <v>105</v>
      </c>
      <c r="D397" s="3" t="s">
        <v>61</v>
      </c>
      <c r="E397" s="3" t="s">
        <v>61</v>
      </c>
      <c r="F397" s="3" t="s">
        <v>150</v>
      </c>
      <c r="G397" s="3" t="s">
        <v>63</v>
      </c>
      <c r="H397" s="3" t="n">
        <v>0.757</v>
      </c>
      <c r="I397" s="13" t="n">
        <f aca="false">IF(G397=E397,1,0)</f>
        <v>0</v>
      </c>
      <c r="K397" s="13" t="n">
        <f aca="false">IF(G397=E397,1,0)</f>
        <v>0</v>
      </c>
      <c r="L397" s="13" t="n">
        <f aca="false">IF(F397=C397,1,0)</f>
        <v>0</v>
      </c>
    </row>
    <row r="398" customFormat="false" ht="15.75" hidden="false" customHeight="false" outlineLevel="0" collapsed="false">
      <c r="A398" s="3" t="n">
        <v>397</v>
      </c>
      <c r="B398" s="3" t="s">
        <v>171</v>
      </c>
      <c r="C398" s="3" t="s">
        <v>105</v>
      </c>
      <c r="D398" s="3" t="s">
        <v>61</v>
      </c>
      <c r="E398" s="3" t="s">
        <v>61</v>
      </c>
      <c r="F398" s="3" t="s">
        <v>143</v>
      </c>
      <c r="G398" s="3" t="s">
        <v>69</v>
      </c>
      <c r="H398" s="3" t="n">
        <v>0.754</v>
      </c>
      <c r="I398" s="13" t="n">
        <f aca="false">IF(G398=E398,1,0)</f>
        <v>0</v>
      </c>
      <c r="K398" s="13" t="n">
        <f aca="false">IF(G398=E398,1,0)</f>
        <v>0</v>
      </c>
      <c r="L398" s="13" t="n">
        <f aca="false">IF(F398=C398,1,0)</f>
        <v>0</v>
      </c>
    </row>
    <row r="399" customFormat="false" ht="15.75" hidden="false" customHeight="false" outlineLevel="0" collapsed="false">
      <c r="A399" s="3" t="n">
        <v>398</v>
      </c>
      <c r="B399" s="3" t="s">
        <v>601</v>
      </c>
      <c r="C399" s="3" t="s">
        <v>105</v>
      </c>
      <c r="D399" s="3" t="s">
        <v>61</v>
      </c>
      <c r="E399" s="3" t="s">
        <v>61</v>
      </c>
      <c r="F399" s="3" t="s">
        <v>105</v>
      </c>
      <c r="G399" s="3" t="s">
        <v>77</v>
      </c>
      <c r="H399" s="3" t="n">
        <v>0.752</v>
      </c>
      <c r="I399" s="13" t="n">
        <f aca="false">IF(G399=E399,1,0)</f>
        <v>0</v>
      </c>
      <c r="K399" s="13" t="n">
        <f aca="false">IF(G399=E399,1,0)</f>
        <v>0</v>
      </c>
      <c r="L399" s="13" t="n">
        <f aca="false">IF(F399=C399,1,0)</f>
        <v>1</v>
      </c>
    </row>
    <row r="400" customFormat="false" ht="15.75" hidden="false" customHeight="false" outlineLevel="0" collapsed="false">
      <c r="A400" s="3" t="n">
        <v>399</v>
      </c>
      <c r="B400" s="3" t="s">
        <v>602</v>
      </c>
      <c r="C400" s="3" t="s">
        <v>143</v>
      </c>
      <c r="D400" s="3" t="s">
        <v>256</v>
      </c>
      <c r="E400" s="3" t="s">
        <v>256</v>
      </c>
      <c r="F400" s="3" t="s">
        <v>143</v>
      </c>
      <c r="G400" s="3" t="s">
        <v>67</v>
      </c>
      <c r="H400" s="3" t="n">
        <v>0.748</v>
      </c>
      <c r="I400" s="13" t="n">
        <f aca="false">IF(G400=E400,1,0)</f>
        <v>0</v>
      </c>
      <c r="J400" s="3" t="s">
        <v>257</v>
      </c>
    </row>
    <row r="401" customFormat="false" ht="15.75" hidden="false" customHeight="false" outlineLevel="0" collapsed="false">
      <c r="A401" s="3" t="n">
        <v>400</v>
      </c>
      <c r="B401" s="3" t="s">
        <v>603</v>
      </c>
      <c r="C401" s="3" t="s">
        <v>105</v>
      </c>
      <c r="D401" s="3" t="s">
        <v>61</v>
      </c>
      <c r="E401" s="3" t="s">
        <v>61</v>
      </c>
      <c r="F401" s="3" t="s">
        <v>133</v>
      </c>
      <c r="G401" s="3" t="s">
        <v>65</v>
      </c>
      <c r="H401" s="3" t="n">
        <v>0.747</v>
      </c>
      <c r="I401" s="13" t="n">
        <f aca="false">IF(G401=E401,1,0)</f>
        <v>0</v>
      </c>
      <c r="K401" s="13" t="n">
        <f aca="false">IF(G401=E401,1,0)</f>
        <v>0</v>
      </c>
      <c r="L401" s="13" t="n">
        <f aca="false">IF(F401=C401,1,0)</f>
        <v>0</v>
      </c>
    </row>
    <row r="402" customFormat="false" ht="15.75" hidden="false" customHeight="false" outlineLevel="0" collapsed="false">
      <c r="A402" s="3" t="n">
        <v>401</v>
      </c>
      <c r="B402" s="3" t="s">
        <v>604</v>
      </c>
      <c r="C402" s="3" t="s">
        <v>105</v>
      </c>
      <c r="D402" s="3" t="s">
        <v>61</v>
      </c>
      <c r="E402" s="3" t="s">
        <v>61</v>
      </c>
      <c r="F402" s="3" t="s">
        <v>105</v>
      </c>
      <c r="G402" s="3" t="s">
        <v>61</v>
      </c>
      <c r="H402" s="3" t="n">
        <v>0.746</v>
      </c>
      <c r="I402" s="13" t="n">
        <f aca="false">IF(G402=E402,1,0)</f>
        <v>1</v>
      </c>
      <c r="K402" s="13" t="n">
        <f aca="false">IF(G402=E402,1,0)</f>
        <v>1</v>
      </c>
      <c r="L402" s="13" t="n">
        <f aca="false">IF(F402=C402,1,0)</f>
        <v>1</v>
      </c>
    </row>
    <row r="403" customFormat="false" ht="15.75" hidden="false" customHeight="false" outlineLevel="0" collapsed="false">
      <c r="A403" s="3" t="n">
        <v>402</v>
      </c>
      <c r="B403" s="3" t="s">
        <v>605</v>
      </c>
      <c r="C403" s="3" t="s">
        <v>105</v>
      </c>
      <c r="D403" s="3" t="s">
        <v>77</v>
      </c>
      <c r="E403" s="3" t="s">
        <v>77</v>
      </c>
      <c r="F403" s="3" t="s">
        <v>105</v>
      </c>
      <c r="G403" s="3" t="s">
        <v>61</v>
      </c>
      <c r="H403" s="3" t="n">
        <v>0.744</v>
      </c>
      <c r="I403" s="13" t="n">
        <f aca="false">IF(G403=E403,1,0)</f>
        <v>0</v>
      </c>
      <c r="K403" s="13" t="n">
        <f aca="false">IF(G403=E403,1,0)</f>
        <v>0</v>
      </c>
      <c r="L403" s="13" t="n">
        <f aca="false">IF(F403=C403,1,0)</f>
        <v>1</v>
      </c>
    </row>
    <row r="404" customFormat="false" ht="15.75" hidden="false" customHeight="false" outlineLevel="0" collapsed="false">
      <c r="A404" s="3" t="n">
        <v>403</v>
      </c>
      <c r="B404" s="3" t="s">
        <v>606</v>
      </c>
      <c r="C404" s="3" t="s">
        <v>105</v>
      </c>
      <c r="D404" s="3" t="s">
        <v>61</v>
      </c>
      <c r="E404" s="3" t="s">
        <v>61</v>
      </c>
      <c r="F404" s="3" t="s">
        <v>150</v>
      </c>
      <c r="G404" s="3" t="s">
        <v>83</v>
      </c>
      <c r="H404" s="3" t="n">
        <v>0.743</v>
      </c>
      <c r="I404" s="13" t="n">
        <f aca="false">IF(G404=E404,1,0)</f>
        <v>0</v>
      </c>
      <c r="K404" s="13" t="n">
        <f aca="false">IF(G404=E404,1,0)</f>
        <v>0</v>
      </c>
      <c r="L404" s="13" t="n">
        <f aca="false">IF(F404=C404,1,0)</f>
        <v>0</v>
      </c>
    </row>
    <row r="405" customFormat="false" ht="15.75" hidden="false" customHeight="false" outlineLevel="0" collapsed="false">
      <c r="A405" s="3" t="n">
        <v>404</v>
      </c>
      <c r="B405" s="3" t="s">
        <v>607</v>
      </c>
      <c r="C405" s="3" t="s">
        <v>105</v>
      </c>
      <c r="D405" s="3" t="s">
        <v>61</v>
      </c>
      <c r="E405" s="3" t="s">
        <v>61</v>
      </c>
      <c r="F405" s="3" t="s">
        <v>105</v>
      </c>
      <c r="G405" s="3" t="s">
        <v>61</v>
      </c>
      <c r="H405" s="3" t="n">
        <v>0.74</v>
      </c>
      <c r="I405" s="13" t="n">
        <f aca="false">IF(G405=E405,1,0)</f>
        <v>1</v>
      </c>
      <c r="K405" s="13" t="n">
        <f aca="false">IF(G405=E405,1,0)</f>
        <v>1</v>
      </c>
      <c r="L405" s="13" t="n">
        <f aca="false">IF(F405=C405,1,0)</f>
        <v>1</v>
      </c>
    </row>
    <row r="406" customFormat="false" ht="15.75" hidden="false" customHeight="false" outlineLevel="0" collapsed="false">
      <c r="A406" s="3" t="n">
        <v>405</v>
      </c>
      <c r="B406" s="3" t="s">
        <v>608</v>
      </c>
      <c r="C406" s="3" t="s">
        <v>105</v>
      </c>
      <c r="D406" s="3" t="s">
        <v>61</v>
      </c>
      <c r="E406" s="3" t="s">
        <v>61</v>
      </c>
      <c r="F406" s="3" t="s">
        <v>105</v>
      </c>
      <c r="G406" s="3" t="s">
        <v>61</v>
      </c>
      <c r="H406" s="3" t="n">
        <v>0.734</v>
      </c>
      <c r="I406" s="13" t="n">
        <f aca="false">IF(G406=E406,1,0)</f>
        <v>1</v>
      </c>
      <c r="K406" s="13" t="n">
        <f aca="false">IF(G406=E406,1,0)</f>
        <v>1</v>
      </c>
      <c r="L406" s="13" t="n">
        <f aca="false">IF(F406=C406,1,0)</f>
        <v>1</v>
      </c>
    </row>
    <row r="407" customFormat="false" ht="15.75" hidden="false" customHeight="false" outlineLevel="0" collapsed="false">
      <c r="A407" s="3" t="n">
        <v>406</v>
      </c>
      <c r="B407" s="3" t="s">
        <v>609</v>
      </c>
      <c r="C407" s="3" t="s">
        <v>143</v>
      </c>
      <c r="D407" s="3" t="s">
        <v>288</v>
      </c>
      <c r="E407" s="3" t="s">
        <v>288</v>
      </c>
      <c r="F407" s="3" t="s">
        <v>105</v>
      </c>
      <c r="G407" s="3" t="s">
        <v>77</v>
      </c>
      <c r="H407" s="3" t="n">
        <v>0.733</v>
      </c>
      <c r="I407" s="13" t="n">
        <f aca="false">IF(G407=E407,1,0)</f>
        <v>0</v>
      </c>
      <c r="J407" s="3" t="s">
        <v>257</v>
      </c>
    </row>
    <row r="408" customFormat="false" ht="15.75" hidden="false" customHeight="false" outlineLevel="0" collapsed="false">
      <c r="A408" s="3" t="n">
        <v>407</v>
      </c>
      <c r="B408" s="3" t="s">
        <v>610</v>
      </c>
      <c r="C408" s="3" t="s">
        <v>105</v>
      </c>
      <c r="D408" s="3" t="s">
        <v>61</v>
      </c>
      <c r="E408" s="3" t="s">
        <v>61</v>
      </c>
      <c r="F408" s="3" t="s">
        <v>105</v>
      </c>
      <c r="G408" s="3" t="s">
        <v>77</v>
      </c>
      <c r="H408" s="3" t="n">
        <v>0.733</v>
      </c>
      <c r="I408" s="13" t="n">
        <f aca="false">IF(G408=E408,1,0)</f>
        <v>0</v>
      </c>
      <c r="K408" s="13" t="n">
        <f aca="false">IF(G408=E408,1,0)</f>
        <v>0</v>
      </c>
      <c r="L408" s="13" t="n">
        <f aca="false">IF(F408=C408,1,0)</f>
        <v>1</v>
      </c>
    </row>
    <row r="409" customFormat="false" ht="15.75" hidden="false" customHeight="false" outlineLevel="0" collapsed="false">
      <c r="A409" s="3" t="n">
        <v>408</v>
      </c>
      <c r="B409" s="3" t="s">
        <v>611</v>
      </c>
      <c r="C409" s="3" t="s">
        <v>105</v>
      </c>
      <c r="D409" s="3" t="s">
        <v>61</v>
      </c>
      <c r="E409" s="3" t="s">
        <v>61</v>
      </c>
      <c r="F409" s="3" t="s">
        <v>105</v>
      </c>
      <c r="G409" s="3" t="s">
        <v>55</v>
      </c>
      <c r="H409" s="3" t="n">
        <v>0.733</v>
      </c>
      <c r="I409" s="13" t="n">
        <f aca="false">IF(G409=E409,1,0)</f>
        <v>0</v>
      </c>
      <c r="K409" s="13" t="n">
        <f aca="false">IF(G409=E409,1,0)</f>
        <v>0</v>
      </c>
      <c r="L409" s="13" t="n">
        <f aca="false">IF(F409=C409,1,0)</f>
        <v>1</v>
      </c>
    </row>
    <row r="410" customFormat="false" ht="15.75" hidden="false" customHeight="false" outlineLevel="0" collapsed="false">
      <c r="A410" s="3" t="n">
        <v>409</v>
      </c>
      <c r="B410" s="3" t="s">
        <v>612</v>
      </c>
      <c r="C410" s="3" t="s">
        <v>105</v>
      </c>
      <c r="D410" s="3" t="s">
        <v>61</v>
      </c>
      <c r="E410" s="3" t="s">
        <v>61</v>
      </c>
      <c r="F410" s="3" t="s">
        <v>150</v>
      </c>
      <c r="G410" s="3" t="s">
        <v>83</v>
      </c>
      <c r="H410" s="3" t="n">
        <v>0.731</v>
      </c>
      <c r="I410" s="13" t="n">
        <f aca="false">IF(G410=E410,1,0)</f>
        <v>0</v>
      </c>
      <c r="K410" s="13" t="n">
        <f aca="false">IF(G410=E410,1,0)</f>
        <v>0</v>
      </c>
      <c r="L410" s="13" t="n">
        <f aca="false">IF(F410=C410,1,0)</f>
        <v>0</v>
      </c>
    </row>
    <row r="411" customFormat="false" ht="15.75" hidden="false" customHeight="false" outlineLevel="0" collapsed="false">
      <c r="A411" s="3" t="n">
        <v>410</v>
      </c>
      <c r="B411" s="3" t="s">
        <v>613</v>
      </c>
      <c r="C411" s="3" t="s">
        <v>150</v>
      </c>
      <c r="D411" s="3" t="s">
        <v>254</v>
      </c>
      <c r="E411" s="3" t="s">
        <v>85</v>
      </c>
      <c r="F411" s="3" t="s">
        <v>150</v>
      </c>
      <c r="G411" s="3" t="s">
        <v>85</v>
      </c>
      <c r="H411" s="3" t="n">
        <v>0.731</v>
      </c>
      <c r="I411" s="13" t="n">
        <f aca="false">IF(G411=E411,1,0)</f>
        <v>1</v>
      </c>
      <c r="K411" s="13" t="n">
        <f aca="false">IF(G411=E411,1,0)</f>
        <v>1</v>
      </c>
      <c r="L411" s="13" t="n">
        <f aca="false">IF(F411=C411,1,0)</f>
        <v>1</v>
      </c>
    </row>
    <row r="412" customFormat="false" ht="15.75" hidden="false" customHeight="false" outlineLevel="0" collapsed="false">
      <c r="A412" s="3" t="n">
        <v>411</v>
      </c>
      <c r="B412" s="3" t="s">
        <v>614</v>
      </c>
      <c r="C412" s="3" t="s">
        <v>105</v>
      </c>
      <c r="D412" s="3" t="s">
        <v>61</v>
      </c>
      <c r="E412" s="3" t="s">
        <v>61</v>
      </c>
      <c r="F412" s="3" t="s">
        <v>143</v>
      </c>
      <c r="G412" s="3" t="s">
        <v>69</v>
      </c>
      <c r="H412" s="3" t="n">
        <v>0.73</v>
      </c>
      <c r="I412" s="13" t="n">
        <f aca="false">IF(G412=E412,1,0)</f>
        <v>0</v>
      </c>
      <c r="K412" s="13" t="n">
        <f aca="false">IF(G412=E412,1,0)</f>
        <v>0</v>
      </c>
      <c r="L412" s="13" t="n">
        <f aca="false">IF(F412=C412,1,0)</f>
        <v>0</v>
      </c>
    </row>
    <row r="413" customFormat="false" ht="15.75" hidden="false" customHeight="false" outlineLevel="0" collapsed="false">
      <c r="A413" s="3" t="n">
        <v>412</v>
      </c>
      <c r="B413" s="3" t="s">
        <v>615</v>
      </c>
      <c r="C413" s="3" t="s">
        <v>143</v>
      </c>
      <c r="D413" s="3" t="s">
        <v>616</v>
      </c>
      <c r="E413" s="3" t="s">
        <v>616</v>
      </c>
      <c r="F413" s="3" t="s">
        <v>143</v>
      </c>
      <c r="G413" s="3" t="s">
        <v>79</v>
      </c>
      <c r="H413" s="3" t="n">
        <v>0.729</v>
      </c>
      <c r="I413" s="13" t="n">
        <f aca="false">IF(G413=E413,1,0)</f>
        <v>0</v>
      </c>
      <c r="J413" s="3" t="s">
        <v>257</v>
      </c>
    </row>
    <row r="414" customFormat="false" ht="15.75" hidden="false" customHeight="false" outlineLevel="0" collapsed="false">
      <c r="A414" s="3" t="n">
        <v>413</v>
      </c>
      <c r="B414" s="3" t="s">
        <v>617</v>
      </c>
      <c r="C414" s="3" t="s">
        <v>133</v>
      </c>
      <c r="D414" s="3" t="s">
        <v>65</v>
      </c>
      <c r="E414" s="3" t="s">
        <v>65</v>
      </c>
      <c r="F414" s="3" t="s">
        <v>133</v>
      </c>
      <c r="G414" s="3" t="s">
        <v>65</v>
      </c>
      <c r="H414" s="3" t="n">
        <v>0.729</v>
      </c>
      <c r="I414" s="13" t="n">
        <f aca="false">IF(G414=E414,1,0)</f>
        <v>1</v>
      </c>
      <c r="K414" s="13" t="n">
        <f aca="false">IF(G414=E414,1,0)</f>
        <v>1</v>
      </c>
      <c r="L414" s="13" t="n">
        <f aca="false">IF(F414=C414,1,0)</f>
        <v>1</v>
      </c>
    </row>
    <row r="415" customFormat="false" ht="15.75" hidden="false" customHeight="false" outlineLevel="0" collapsed="false">
      <c r="A415" s="3" t="n">
        <v>414</v>
      </c>
      <c r="B415" s="3" t="s">
        <v>618</v>
      </c>
      <c r="C415" s="3" t="s">
        <v>105</v>
      </c>
      <c r="D415" s="3" t="s">
        <v>61</v>
      </c>
      <c r="E415" s="3" t="s">
        <v>61</v>
      </c>
      <c r="F415" s="3" t="s">
        <v>143</v>
      </c>
      <c r="G415" s="3" t="s">
        <v>79</v>
      </c>
      <c r="H415" s="3" t="n">
        <v>0.728</v>
      </c>
      <c r="I415" s="13" t="n">
        <f aca="false">IF(G415=E415,1,0)</f>
        <v>0</v>
      </c>
      <c r="K415" s="13" t="n">
        <f aca="false">IF(G415=E415,1,0)</f>
        <v>0</v>
      </c>
      <c r="L415" s="13" t="n">
        <f aca="false">IF(F415=C415,1,0)</f>
        <v>0</v>
      </c>
    </row>
    <row r="416" customFormat="false" ht="15.75" hidden="false" customHeight="false" outlineLevel="0" collapsed="false">
      <c r="A416" s="3" t="n">
        <v>415</v>
      </c>
      <c r="B416" s="3" t="s">
        <v>619</v>
      </c>
      <c r="C416" s="3" t="s">
        <v>143</v>
      </c>
      <c r="D416" s="3" t="s">
        <v>198</v>
      </c>
      <c r="E416" s="3" t="s">
        <v>67</v>
      </c>
      <c r="F416" s="3" t="s">
        <v>143</v>
      </c>
      <c r="G416" s="3" t="s">
        <v>69</v>
      </c>
      <c r="H416" s="3" t="n">
        <v>0.726</v>
      </c>
      <c r="I416" s="13" t="n">
        <f aca="false">IF(G416=E416,1,0)</f>
        <v>0</v>
      </c>
      <c r="K416" s="13" t="n">
        <f aca="false">IF(G416=E416,1,0)</f>
        <v>0</v>
      </c>
      <c r="L416" s="13" t="n">
        <f aca="false">IF(F416=C416,1,0)</f>
        <v>1</v>
      </c>
    </row>
    <row r="417" customFormat="false" ht="15.75" hidden="false" customHeight="false" outlineLevel="0" collapsed="false">
      <c r="A417" s="3" t="n">
        <v>416</v>
      </c>
      <c r="B417" s="3" t="s">
        <v>620</v>
      </c>
      <c r="C417" s="3" t="s">
        <v>105</v>
      </c>
      <c r="D417" s="3" t="s">
        <v>61</v>
      </c>
      <c r="E417" s="3" t="s">
        <v>61</v>
      </c>
      <c r="F417" s="3" t="s">
        <v>143</v>
      </c>
      <c r="G417" s="3" t="s">
        <v>67</v>
      </c>
      <c r="H417" s="3" t="n">
        <v>0.724</v>
      </c>
      <c r="I417" s="13" t="n">
        <f aca="false">IF(G417=E417,1,0)</f>
        <v>0</v>
      </c>
      <c r="K417" s="13" t="n">
        <f aca="false">IF(G417=E417,1,0)</f>
        <v>0</v>
      </c>
      <c r="L417" s="13" t="n">
        <f aca="false">IF(F417=C417,1,0)</f>
        <v>0</v>
      </c>
    </row>
    <row r="418" customFormat="false" ht="15.75" hidden="false" customHeight="false" outlineLevel="0" collapsed="false">
      <c r="A418" s="3" t="n">
        <v>417</v>
      </c>
      <c r="B418" s="3" t="s">
        <v>621</v>
      </c>
      <c r="C418" s="3" t="s">
        <v>143</v>
      </c>
      <c r="D418" s="3" t="s">
        <v>288</v>
      </c>
      <c r="E418" s="3" t="s">
        <v>288</v>
      </c>
      <c r="F418" s="3" t="s">
        <v>105</v>
      </c>
      <c r="G418" s="3" t="s">
        <v>61</v>
      </c>
      <c r="H418" s="3" t="n">
        <v>0.721</v>
      </c>
      <c r="I418" s="13" t="n">
        <f aca="false">IF(G418=E418,1,0)</f>
        <v>0</v>
      </c>
      <c r="J418" s="3" t="s">
        <v>257</v>
      </c>
    </row>
    <row r="419" customFormat="false" ht="15.75" hidden="false" customHeight="false" outlineLevel="0" collapsed="false">
      <c r="A419" s="3" t="n">
        <v>418</v>
      </c>
      <c r="B419" s="3" t="s">
        <v>622</v>
      </c>
      <c r="C419" s="3" t="s">
        <v>105</v>
      </c>
      <c r="D419" s="3" t="s">
        <v>61</v>
      </c>
      <c r="E419" s="3" t="s">
        <v>61</v>
      </c>
      <c r="F419" s="3" t="s">
        <v>105</v>
      </c>
      <c r="G419" s="3" t="s">
        <v>61</v>
      </c>
      <c r="H419" s="3" t="n">
        <v>0.72</v>
      </c>
      <c r="I419" s="13" t="n">
        <f aca="false">IF(G419=E419,1,0)</f>
        <v>1</v>
      </c>
      <c r="K419" s="13" t="n">
        <f aca="false">IF(G419=E419,1,0)</f>
        <v>1</v>
      </c>
      <c r="L419" s="13" t="n">
        <f aca="false">IF(F419=C419,1,0)</f>
        <v>1</v>
      </c>
    </row>
    <row r="420" customFormat="false" ht="15.75" hidden="false" customHeight="false" outlineLevel="0" collapsed="false">
      <c r="A420" s="3" t="n">
        <v>419</v>
      </c>
      <c r="B420" s="3" t="s">
        <v>623</v>
      </c>
      <c r="C420" s="3" t="s">
        <v>105</v>
      </c>
      <c r="D420" s="3" t="s">
        <v>61</v>
      </c>
      <c r="E420" s="3" t="s">
        <v>61</v>
      </c>
      <c r="F420" s="3" t="s">
        <v>105</v>
      </c>
      <c r="G420" s="3" t="s">
        <v>61</v>
      </c>
      <c r="H420" s="3" t="n">
        <v>0.72</v>
      </c>
      <c r="I420" s="13" t="n">
        <f aca="false">IF(G420=E420,1,0)</f>
        <v>1</v>
      </c>
      <c r="K420" s="13" t="n">
        <f aca="false">IF(G420=E420,1,0)</f>
        <v>1</v>
      </c>
      <c r="L420" s="13" t="n">
        <f aca="false">IF(F420=C420,1,0)</f>
        <v>1</v>
      </c>
    </row>
    <row r="421" customFormat="false" ht="15.75" hidden="false" customHeight="false" outlineLevel="0" collapsed="false">
      <c r="A421" s="3" t="n">
        <v>420</v>
      </c>
      <c r="B421" s="3" t="s">
        <v>624</v>
      </c>
      <c r="C421" s="3" t="s">
        <v>105</v>
      </c>
      <c r="D421" s="3" t="s">
        <v>61</v>
      </c>
      <c r="E421" s="3" t="s">
        <v>61</v>
      </c>
      <c r="F421" s="3" t="s">
        <v>150</v>
      </c>
      <c r="G421" s="3" t="s">
        <v>83</v>
      </c>
      <c r="H421" s="3" t="n">
        <v>0.716</v>
      </c>
      <c r="I421" s="13" t="n">
        <f aca="false">IF(G421=E421,1,0)</f>
        <v>0</v>
      </c>
      <c r="K421" s="13" t="n">
        <f aca="false">IF(G421=E421,1,0)</f>
        <v>0</v>
      </c>
      <c r="L421" s="13" t="n">
        <f aca="false">IF(F421=C421,1,0)</f>
        <v>0</v>
      </c>
    </row>
    <row r="422" customFormat="false" ht="15.75" hidden="false" customHeight="false" outlineLevel="0" collapsed="false">
      <c r="A422" s="3" t="n">
        <v>421</v>
      </c>
      <c r="B422" s="3" t="s">
        <v>625</v>
      </c>
      <c r="C422" s="3" t="s">
        <v>105</v>
      </c>
      <c r="D422" s="3" t="s">
        <v>77</v>
      </c>
      <c r="E422" s="3" t="s">
        <v>77</v>
      </c>
      <c r="F422" s="3" t="s">
        <v>150</v>
      </c>
      <c r="G422" s="3" t="s">
        <v>83</v>
      </c>
      <c r="H422" s="3" t="n">
        <v>0.714</v>
      </c>
      <c r="I422" s="13" t="n">
        <f aca="false">IF(G422=E422,1,0)</f>
        <v>0</v>
      </c>
      <c r="K422" s="13" t="n">
        <f aca="false">IF(G422=E422,1,0)</f>
        <v>0</v>
      </c>
      <c r="L422" s="13" t="n">
        <f aca="false">IF(F422=C422,1,0)</f>
        <v>0</v>
      </c>
    </row>
    <row r="423" customFormat="false" ht="15.75" hidden="false" customHeight="false" outlineLevel="0" collapsed="false">
      <c r="A423" s="3" t="n">
        <v>422</v>
      </c>
      <c r="B423" s="3" t="s">
        <v>626</v>
      </c>
      <c r="C423" s="3" t="s">
        <v>105</v>
      </c>
      <c r="D423" s="3" t="s">
        <v>77</v>
      </c>
      <c r="E423" s="3" t="s">
        <v>77</v>
      </c>
      <c r="F423" s="3" t="s">
        <v>105</v>
      </c>
      <c r="G423" s="3" t="s">
        <v>61</v>
      </c>
      <c r="H423" s="3" t="n">
        <v>0.709</v>
      </c>
      <c r="I423" s="13" t="n">
        <f aca="false">IF(G423=E423,1,0)</f>
        <v>0</v>
      </c>
      <c r="K423" s="13" t="n">
        <f aca="false">IF(G423=E423,1,0)</f>
        <v>0</v>
      </c>
      <c r="L423" s="13" t="n">
        <f aca="false">IF(F423=C423,1,0)</f>
        <v>1</v>
      </c>
    </row>
    <row r="424" customFormat="false" ht="15.75" hidden="false" customHeight="false" outlineLevel="0" collapsed="false">
      <c r="A424" s="3" t="n">
        <v>423</v>
      </c>
      <c r="B424" s="3" t="s">
        <v>627</v>
      </c>
      <c r="C424" s="3" t="s">
        <v>105</v>
      </c>
      <c r="D424" s="3" t="s">
        <v>61</v>
      </c>
      <c r="E424" s="3" t="s">
        <v>61</v>
      </c>
      <c r="F424" s="3" t="s">
        <v>105</v>
      </c>
      <c r="G424" s="3" t="s">
        <v>61</v>
      </c>
      <c r="H424" s="3" t="n">
        <v>0.708</v>
      </c>
      <c r="I424" s="13" t="n">
        <f aca="false">IF(G424=E424,1,0)</f>
        <v>1</v>
      </c>
      <c r="K424" s="13" t="n">
        <f aca="false">IF(G424=E424,1,0)</f>
        <v>1</v>
      </c>
      <c r="L424" s="13" t="n">
        <f aca="false">IF(F424=C424,1,0)</f>
        <v>1</v>
      </c>
    </row>
    <row r="425" customFormat="false" ht="15.75" hidden="false" customHeight="false" outlineLevel="0" collapsed="false">
      <c r="A425" s="3" t="n">
        <v>424</v>
      </c>
      <c r="B425" s="3" t="s">
        <v>628</v>
      </c>
      <c r="C425" s="3" t="s">
        <v>143</v>
      </c>
      <c r="D425" s="3" t="s">
        <v>198</v>
      </c>
      <c r="E425" s="3" t="s">
        <v>67</v>
      </c>
      <c r="F425" s="3" t="s">
        <v>105</v>
      </c>
      <c r="G425" s="3" t="s">
        <v>59</v>
      </c>
      <c r="H425" s="3" t="n">
        <v>0.707</v>
      </c>
      <c r="I425" s="13" t="n">
        <f aca="false">IF(G425=E425,1,0)</f>
        <v>0</v>
      </c>
      <c r="K425" s="13" t="n">
        <f aca="false">IF(G425=E425,1,0)</f>
        <v>0</v>
      </c>
      <c r="L425" s="13" t="n">
        <f aca="false">IF(F425=C425,1,0)</f>
        <v>0</v>
      </c>
    </row>
    <row r="426" customFormat="false" ht="15.75" hidden="false" customHeight="false" outlineLevel="0" collapsed="false">
      <c r="A426" s="3" t="n">
        <v>425</v>
      </c>
      <c r="B426" s="3" t="s">
        <v>629</v>
      </c>
      <c r="C426" s="3" t="s">
        <v>150</v>
      </c>
      <c r="D426" s="3" t="s">
        <v>245</v>
      </c>
      <c r="E426" s="3" t="s">
        <v>83</v>
      </c>
      <c r="F426" s="3" t="s">
        <v>143</v>
      </c>
      <c r="G426" s="3" t="s">
        <v>69</v>
      </c>
      <c r="H426" s="3" t="n">
        <v>0.707</v>
      </c>
      <c r="I426" s="13" t="n">
        <f aca="false">IF(G426=E426,1,0)</f>
        <v>0</v>
      </c>
      <c r="K426" s="13" t="n">
        <f aca="false">IF(G426=E426,1,0)</f>
        <v>0</v>
      </c>
      <c r="L426" s="13" t="n">
        <f aca="false">IF(F426=C426,1,0)</f>
        <v>0</v>
      </c>
    </row>
    <row r="427" customFormat="false" ht="15.75" hidden="false" customHeight="false" outlineLevel="0" collapsed="false">
      <c r="A427" s="3" t="n">
        <v>426</v>
      </c>
      <c r="B427" s="3" t="s">
        <v>630</v>
      </c>
      <c r="C427" s="3" t="s">
        <v>105</v>
      </c>
      <c r="D427" s="3" t="s">
        <v>77</v>
      </c>
      <c r="E427" s="3" t="s">
        <v>77</v>
      </c>
      <c r="F427" s="3" t="s">
        <v>105</v>
      </c>
      <c r="G427" s="3" t="s">
        <v>77</v>
      </c>
      <c r="H427" s="3" t="n">
        <v>0.707</v>
      </c>
      <c r="I427" s="13" t="n">
        <f aca="false">IF(G427=E427,1,0)</f>
        <v>1</v>
      </c>
      <c r="K427" s="13" t="n">
        <f aca="false">IF(G427=E427,1,0)</f>
        <v>1</v>
      </c>
      <c r="L427" s="13" t="n">
        <f aca="false">IF(F427=C427,1,0)</f>
        <v>1</v>
      </c>
    </row>
    <row r="428" customFormat="false" ht="15.75" hidden="false" customHeight="false" outlineLevel="0" collapsed="false">
      <c r="A428" s="3" t="n">
        <v>427</v>
      </c>
      <c r="B428" s="19" t="s">
        <v>631</v>
      </c>
      <c r="C428" s="19" t="s">
        <v>105</v>
      </c>
      <c r="D428" s="19" t="s">
        <v>77</v>
      </c>
      <c r="E428" s="19" t="s">
        <v>77</v>
      </c>
      <c r="F428" s="19" t="s">
        <v>105</v>
      </c>
      <c r="G428" s="19" t="s">
        <v>77</v>
      </c>
      <c r="H428" s="19" t="n">
        <v>0.7</v>
      </c>
      <c r="I428" s="20" t="n">
        <f aca="false">IF(G428=E428,1,0)</f>
        <v>1</v>
      </c>
      <c r="J428" s="20"/>
      <c r="K428" s="20" t="n">
        <f aca="false">IF(G428=E428,1,0)</f>
        <v>1</v>
      </c>
      <c r="L428" s="20" t="n">
        <f aca="false">IF(F428=C428,1,0)</f>
        <v>1</v>
      </c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customFormat="false" ht="15.75" hidden="false" customHeight="false" outlineLevel="0" collapsed="false">
      <c r="A429" s="3" t="n">
        <v>428</v>
      </c>
      <c r="B429" s="3"/>
      <c r="C429" s="3"/>
      <c r="D429" s="3"/>
      <c r="E429" s="3"/>
      <c r="F429" s="3"/>
      <c r="G429" s="3"/>
      <c r="H429" s="3"/>
    </row>
    <row r="430" customFormat="false" ht="15.75" hidden="false" customHeight="false" outlineLevel="0" collapsed="false">
      <c r="A430" s="3" t="n">
        <v>429</v>
      </c>
      <c r="B430" s="3" t="s">
        <v>632</v>
      </c>
      <c r="C430" s="3" t="s">
        <v>105</v>
      </c>
      <c r="D430" s="3" t="s">
        <v>61</v>
      </c>
      <c r="E430" s="3" t="s">
        <v>61</v>
      </c>
      <c r="F430" s="3" t="s">
        <v>633</v>
      </c>
      <c r="G430" s="3" t="s">
        <v>65</v>
      </c>
      <c r="H430" s="3" t="n">
        <v>0.698</v>
      </c>
      <c r="I430" s="13" t="n">
        <f aca="false">IF(G430=E430,1,0)</f>
        <v>0</v>
      </c>
    </row>
    <row r="431" customFormat="false" ht="15.75" hidden="false" customHeight="false" outlineLevel="0" collapsed="false">
      <c r="A431" s="3" t="n">
        <v>430</v>
      </c>
      <c r="B431" s="3" t="s">
        <v>634</v>
      </c>
      <c r="C431" s="3" t="s">
        <v>105</v>
      </c>
      <c r="D431" s="3" t="s">
        <v>61</v>
      </c>
      <c r="E431" s="3" t="s">
        <v>61</v>
      </c>
      <c r="F431" s="3" t="s">
        <v>635</v>
      </c>
      <c r="G431" s="3" t="s">
        <v>69</v>
      </c>
      <c r="H431" s="3" t="n">
        <v>0.695</v>
      </c>
      <c r="I431" s="13" t="n">
        <f aca="false">IF(G431=E431,1,0)</f>
        <v>0</v>
      </c>
    </row>
    <row r="432" customFormat="false" ht="15.75" hidden="false" customHeight="false" outlineLevel="0" collapsed="false">
      <c r="A432" s="3" t="n">
        <v>431</v>
      </c>
      <c r="B432" s="3" t="s">
        <v>636</v>
      </c>
      <c r="C432" s="3" t="s">
        <v>150</v>
      </c>
      <c r="D432" s="3" t="s">
        <v>75</v>
      </c>
      <c r="E432" s="3" t="s">
        <v>75</v>
      </c>
      <c r="F432" s="3" t="s">
        <v>633</v>
      </c>
      <c r="G432" s="3" t="s">
        <v>65</v>
      </c>
      <c r="H432" s="3" t="n">
        <v>0.695</v>
      </c>
      <c r="I432" s="13" t="n">
        <f aca="false">IF(G432=E432,1,0)</f>
        <v>0</v>
      </c>
    </row>
    <row r="433" customFormat="false" ht="15.75" hidden="false" customHeight="false" outlineLevel="0" collapsed="false">
      <c r="A433" s="3" t="n">
        <v>432</v>
      </c>
      <c r="B433" s="3" t="s">
        <v>637</v>
      </c>
      <c r="C433" s="3" t="s">
        <v>105</v>
      </c>
      <c r="D433" s="3" t="s">
        <v>61</v>
      </c>
      <c r="E433" s="3" t="s">
        <v>61</v>
      </c>
      <c r="F433" s="3" t="s">
        <v>638</v>
      </c>
      <c r="G433" s="3" t="s">
        <v>61</v>
      </c>
      <c r="H433" s="3" t="n">
        <v>0.694</v>
      </c>
      <c r="I433" s="13" t="n">
        <f aca="false">IF(G433=E433,1,0)</f>
        <v>1</v>
      </c>
    </row>
    <row r="434" customFormat="false" ht="15.75" hidden="false" customHeight="false" outlineLevel="0" collapsed="false">
      <c r="A434" s="3" t="n">
        <v>433</v>
      </c>
      <c r="B434" s="3" t="s">
        <v>639</v>
      </c>
      <c r="C434" s="3" t="s">
        <v>105</v>
      </c>
      <c r="D434" s="3" t="s">
        <v>61</v>
      </c>
      <c r="E434" s="3" t="s">
        <v>61</v>
      </c>
      <c r="F434" s="3" t="s">
        <v>638</v>
      </c>
      <c r="G434" s="3" t="s">
        <v>61</v>
      </c>
      <c r="H434" s="3" t="n">
        <v>0.694</v>
      </c>
      <c r="I434" s="13" t="n">
        <f aca="false">IF(G434=E434,1,0)</f>
        <v>1</v>
      </c>
    </row>
    <row r="435" customFormat="false" ht="15.75" hidden="false" customHeight="false" outlineLevel="0" collapsed="false">
      <c r="A435" s="3" t="n">
        <v>434</v>
      </c>
      <c r="B435" s="3" t="s">
        <v>640</v>
      </c>
      <c r="C435" s="3" t="s">
        <v>143</v>
      </c>
      <c r="D435" s="3" t="s">
        <v>198</v>
      </c>
      <c r="E435" s="3" t="s">
        <v>67</v>
      </c>
      <c r="F435" s="3" t="s">
        <v>635</v>
      </c>
      <c r="G435" s="3" t="s">
        <v>67</v>
      </c>
      <c r="H435" s="3" t="n">
        <v>0.692</v>
      </c>
      <c r="I435" s="13" t="n">
        <f aca="false">IF(G435=E435,1,0)</f>
        <v>1</v>
      </c>
    </row>
    <row r="436" customFormat="false" ht="15.75" hidden="false" customHeight="false" outlineLevel="0" collapsed="false">
      <c r="A436" s="3" t="n">
        <v>435</v>
      </c>
      <c r="B436" s="3" t="s">
        <v>641</v>
      </c>
      <c r="C436" s="3" t="s">
        <v>105</v>
      </c>
      <c r="D436" s="3" t="s">
        <v>61</v>
      </c>
      <c r="E436" s="3" t="s">
        <v>61</v>
      </c>
      <c r="F436" s="3" t="s">
        <v>638</v>
      </c>
      <c r="G436" s="3" t="s">
        <v>61</v>
      </c>
      <c r="H436" s="3" t="n">
        <v>0.691</v>
      </c>
      <c r="I436" s="13" t="n">
        <f aca="false">IF(G436=E436,1,0)</f>
        <v>1</v>
      </c>
    </row>
    <row r="437" customFormat="false" ht="15.75" hidden="false" customHeight="false" outlineLevel="0" collapsed="false">
      <c r="A437" s="3" t="n">
        <v>436</v>
      </c>
      <c r="B437" s="3" t="s">
        <v>642</v>
      </c>
      <c r="C437" s="3" t="s">
        <v>143</v>
      </c>
      <c r="D437" s="3" t="s">
        <v>589</v>
      </c>
      <c r="E437" s="3" t="s">
        <v>589</v>
      </c>
      <c r="F437" s="3" t="s">
        <v>643</v>
      </c>
      <c r="G437" s="3" t="s">
        <v>83</v>
      </c>
      <c r="H437" s="3" t="n">
        <v>0.689</v>
      </c>
      <c r="I437" s="13" t="n">
        <f aca="false">IF(G437=E437,1,0)</f>
        <v>0</v>
      </c>
    </row>
    <row r="438" customFormat="false" ht="15.75" hidden="false" customHeight="false" outlineLevel="0" collapsed="false">
      <c r="A438" s="3" t="n">
        <v>437</v>
      </c>
      <c r="B438" s="3" t="s">
        <v>644</v>
      </c>
      <c r="C438" s="3" t="s">
        <v>105</v>
      </c>
      <c r="D438" s="3" t="s">
        <v>61</v>
      </c>
      <c r="E438" s="3" t="s">
        <v>61</v>
      </c>
      <c r="F438" s="3" t="s">
        <v>638</v>
      </c>
      <c r="G438" s="3" t="s">
        <v>61</v>
      </c>
      <c r="H438" s="3" t="n">
        <v>0.687</v>
      </c>
      <c r="I438" s="13" t="n">
        <f aca="false">IF(G438=E438,1,0)</f>
        <v>1</v>
      </c>
    </row>
    <row r="439" customFormat="false" ht="15.75" hidden="false" customHeight="false" outlineLevel="0" collapsed="false">
      <c r="A439" s="3" t="n">
        <v>438</v>
      </c>
      <c r="B439" s="3" t="s">
        <v>645</v>
      </c>
      <c r="C439" s="3" t="s">
        <v>105</v>
      </c>
      <c r="D439" s="3" t="s">
        <v>77</v>
      </c>
      <c r="E439" s="3" t="s">
        <v>77</v>
      </c>
      <c r="F439" s="3" t="s">
        <v>635</v>
      </c>
      <c r="G439" s="3" t="s">
        <v>79</v>
      </c>
      <c r="H439" s="3" t="n">
        <v>0.685</v>
      </c>
      <c r="I439" s="13" t="n">
        <f aca="false">IF(G439=E439,1,0)</f>
        <v>0</v>
      </c>
    </row>
    <row r="440" customFormat="false" ht="15.75" hidden="false" customHeight="false" outlineLevel="0" collapsed="false">
      <c r="A440" s="3" t="n">
        <v>439</v>
      </c>
      <c r="B440" s="3" t="s">
        <v>646</v>
      </c>
      <c r="C440" s="3" t="s">
        <v>150</v>
      </c>
      <c r="D440" s="3" t="s">
        <v>75</v>
      </c>
      <c r="E440" s="3" t="s">
        <v>75</v>
      </c>
      <c r="F440" s="3" t="s">
        <v>643</v>
      </c>
      <c r="G440" s="3" t="s">
        <v>63</v>
      </c>
      <c r="H440" s="3" t="n">
        <v>0.682</v>
      </c>
      <c r="I440" s="13" t="n">
        <f aca="false">IF(G440=E440,1,0)</f>
        <v>0</v>
      </c>
    </row>
    <row r="441" customFormat="false" ht="15.75" hidden="false" customHeight="false" outlineLevel="0" collapsed="false">
      <c r="A441" s="3" t="n">
        <v>440</v>
      </c>
      <c r="B441" s="3" t="s">
        <v>647</v>
      </c>
      <c r="C441" s="3" t="s">
        <v>150</v>
      </c>
      <c r="D441" s="3" t="s">
        <v>245</v>
      </c>
      <c r="E441" s="3" t="s">
        <v>83</v>
      </c>
      <c r="F441" s="3" t="s">
        <v>643</v>
      </c>
      <c r="G441" s="3" t="s">
        <v>83</v>
      </c>
      <c r="H441" s="3" t="n">
        <v>0.682</v>
      </c>
      <c r="I441" s="13" t="n">
        <f aca="false">IF(G441=E441,1,0)</f>
        <v>1</v>
      </c>
    </row>
    <row r="442" customFormat="false" ht="15.75" hidden="false" customHeight="false" outlineLevel="0" collapsed="false">
      <c r="A442" s="3" t="n">
        <v>441</v>
      </c>
      <c r="B442" s="3" t="s">
        <v>648</v>
      </c>
      <c r="C442" s="3" t="s">
        <v>150</v>
      </c>
      <c r="D442" s="3" t="s">
        <v>415</v>
      </c>
      <c r="E442" s="3" t="s">
        <v>415</v>
      </c>
      <c r="F442" s="3" t="s">
        <v>643</v>
      </c>
      <c r="G442" s="3" t="s">
        <v>85</v>
      </c>
      <c r="H442" s="3" t="n">
        <v>0.682</v>
      </c>
      <c r="I442" s="13" t="n">
        <f aca="false">IF(G442=E442,1,0)</f>
        <v>0</v>
      </c>
    </row>
    <row r="443" customFormat="false" ht="15.75" hidden="false" customHeight="false" outlineLevel="0" collapsed="false">
      <c r="A443" s="3" t="n">
        <v>442</v>
      </c>
      <c r="B443" s="3" t="s">
        <v>649</v>
      </c>
      <c r="C443" s="3" t="s">
        <v>143</v>
      </c>
      <c r="D443" s="3" t="s">
        <v>351</v>
      </c>
      <c r="E443" s="3" t="s">
        <v>351</v>
      </c>
      <c r="F443" s="3" t="s">
        <v>633</v>
      </c>
      <c r="G443" s="3" t="s">
        <v>65</v>
      </c>
      <c r="H443" s="3" t="n">
        <v>0.681</v>
      </c>
      <c r="I443" s="13" t="n">
        <f aca="false">IF(G443=E443,1,0)</f>
        <v>0</v>
      </c>
    </row>
    <row r="444" customFormat="false" ht="15.75" hidden="false" customHeight="false" outlineLevel="0" collapsed="false">
      <c r="A444" s="3" t="n">
        <v>443</v>
      </c>
      <c r="B444" s="3" t="s">
        <v>650</v>
      </c>
      <c r="C444" s="3" t="s">
        <v>143</v>
      </c>
      <c r="D444" s="3" t="s">
        <v>198</v>
      </c>
      <c r="E444" s="3" t="s">
        <v>67</v>
      </c>
      <c r="F444" s="3" t="s">
        <v>635</v>
      </c>
      <c r="G444" s="3" t="s">
        <v>79</v>
      </c>
      <c r="H444" s="3" t="n">
        <v>0.681</v>
      </c>
      <c r="I444" s="13" t="n">
        <f aca="false">IF(G444=E444,1,0)</f>
        <v>0</v>
      </c>
    </row>
    <row r="445" customFormat="false" ht="15.75" hidden="false" customHeight="false" outlineLevel="0" collapsed="false">
      <c r="A445" s="3" t="n">
        <v>444</v>
      </c>
      <c r="B445" s="3" t="s">
        <v>651</v>
      </c>
      <c r="C445" s="3" t="s">
        <v>150</v>
      </c>
      <c r="D445" s="3" t="s">
        <v>245</v>
      </c>
      <c r="E445" s="3" t="s">
        <v>83</v>
      </c>
      <c r="F445" s="3" t="s">
        <v>638</v>
      </c>
      <c r="G445" s="3" t="s">
        <v>61</v>
      </c>
      <c r="H445" s="3" t="n">
        <v>0.676</v>
      </c>
      <c r="I445" s="13" t="n">
        <f aca="false">IF(G445=E445,1,0)</f>
        <v>0</v>
      </c>
    </row>
    <row r="446" customFormat="false" ht="15.75" hidden="false" customHeight="false" outlineLevel="0" collapsed="false">
      <c r="A446" s="3" t="n">
        <v>445</v>
      </c>
      <c r="B446" s="3" t="s">
        <v>652</v>
      </c>
      <c r="C446" s="3" t="s">
        <v>143</v>
      </c>
      <c r="D446" s="3" t="s">
        <v>198</v>
      </c>
      <c r="E446" s="3" t="s">
        <v>67</v>
      </c>
      <c r="F446" s="3" t="s">
        <v>635</v>
      </c>
      <c r="G446" s="3" t="s">
        <v>79</v>
      </c>
      <c r="H446" s="3" t="n">
        <v>0.675</v>
      </c>
      <c r="I446" s="13" t="n">
        <f aca="false">IF(G446=E446,1,0)</f>
        <v>0</v>
      </c>
    </row>
    <row r="447" customFormat="false" ht="15.75" hidden="false" customHeight="false" outlineLevel="0" collapsed="false">
      <c r="A447" s="3" t="n">
        <v>446</v>
      </c>
      <c r="B447" s="3" t="s">
        <v>653</v>
      </c>
      <c r="C447" s="3" t="s">
        <v>105</v>
      </c>
      <c r="D447" s="3" t="s">
        <v>77</v>
      </c>
      <c r="E447" s="3" t="s">
        <v>77</v>
      </c>
      <c r="F447" s="3" t="s">
        <v>638</v>
      </c>
      <c r="G447" s="3" t="s">
        <v>77</v>
      </c>
      <c r="H447" s="3" t="n">
        <v>0.674</v>
      </c>
      <c r="I447" s="13" t="n">
        <f aca="false">IF(G447=E447,1,0)</f>
        <v>1</v>
      </c>
    </row>
    <row r="448" customFormat="false" ht="15.75" hidden="false" customHeight="false" outlineLevel="0" collapsed="false">
      <c r="A448" s="3" t="n">
        <v>447</v>
      </c>
      <c r="B448" s="3" t="s">
        <v>654</v>
      </c>
      <c r="C448" s="3" t="s">
        <v>105</v>
      </c>
      <c r="D448" s="3" t="s">
        <v>61</v>
      </c>
      <c r="E448" s="3" t="s">
        <v>61</v>
      </c>
      <c r="F448" s="3" t="s">
        <v>638</v>
      </c>
      <c r="G448" s="3" t="s">
        <v>61</v>
      </c>
      <c r="H448" s="3" t="n">
        <v>0.673</v>
      </c>
      <c r="I448" s="13" t="n">
        <f aca="false">IF(G448=E448,1,0)</f>
        <v>1</v>
      </c>
    </row>
    <row r="449" customFormat="false" ht="15.75" hidden="false" customHeight="false" outlineLevel="0" collapsed="false">
      <c r="A449" s="3" t="n">
        <v>448</v>
      </c>
      <c r="B449" s="3" t="s">
        <v>655</v>
      </c>
      <c r="C449" s="3" t="s">
        <v>105</v>
      </c>
      <c r="D449" s="3" t="s">
        <v>61</v>
      </c>
      <c r="E449" s="3" t="s">
        <v>61</v>
      </c>
      <c r="F449" s="3" t="s">
        <v>638</v>
      </c>
      <c r="G449" s="3" t="s">
        <v>61</v>
      </c>
      <c r="H449" s="3" t="n">
        <v>0.673</v>
      </c>
      <c r="I449" s="13" t="n">
        <f aca="false">IF(G449=E449,1,0)</f>
        <v>1</v>
      </c>
    </row>
    <row r="450" customFormat="false" ht="15.75" hidden="false" customHeight="false" outlineLevel="0" collapsed="false">
      <c r="A450" s="3" t="n">
        <v>449</v>
      </c>
      <c r="B450" s="3" t="s">
        <v>656</v>
      </c>
      <c r="C450" s="3" t="s">
        <v>105</v>
      </c>
      <c r="D450" s="3" t="s">
        <v>61</v>
      </c>
      <c r="E450" s="3" t="s">
        <v>61</v>
      </c>
      <c r="F450" s="3" t="s">
        <v>638</v>
      </c>
      <c r="G450" s="3" t="s">
        <v>61</v>
      </c>
      <c r="H450" s="3" t="n">
        <v>0.671</v>
      </c>
      <c r="I450" s="13" t="n">
        <f aca="false">IF(G450=E450,1,0)</f>
        <v>1</v>
      </c>
    </row>
    <row r="451" customFormat="false" ht="15.75" hidden="false" customHeight="false" outlineLevel="0" collapsed="false">
      <c r="A451" s="3" t="n">
        <v>450</v>
      </c>
      <c r="B451" s="3" t="s">
        <v>657</v>
      </c>
      <c r="C451" s="3" t="s">
        <v>105</v>
      </c>
      <c r="D451" s="3" t="s">
        <v>61</v>
      </c>
      <c r="E451" s="3" t="s">
        <v>61</v>
      </c>
      <c r="F451" s="3" t="s">
        <v>638</v>
      </c>
      <c r="G451" s="3" t="s">
        <v>61</v>
      </c>
      <c r="H451" s="3" t="n">
        <v>0.668</v>
      </c>
      <c r="I451" s="13" t="n">
        <f aca="false">IF(G451=E451,1,0)</f>
        <v>1</v>
      </c>
    </row>
    <row r="452" customFormat="false" ht="15.75" hidden="false" customHeight="false" outlineLevel="0" collapsed="false">
      <c r="A452" s="3" t="n">
        <v>451</v>
      </c>
      <c r="B452" s="3" t="s">
        <v>658</v>
      </c>
      <c r="C452" s="3" t="s">
        <v>105</v>
      </c>
      <c r="D452" s="3" t="s">
        <v>77</v>
      </c>
      <c r="E452" s="3" t="s">
        <v>77</v>
      </c>
      <c r="F452" s="3" t="s">
        <v>482</v>
      </c>
      <c r="G452" s="3" t="s">
        <v>81</v>
      </c>
      <c r="H452" s="3" t="n">
        <v>0.668</v>
      </c>
      <c r="I452" s="13" t="n">
        <f aca="false">IF(G452=E452,1,0)</f>
        <v>0</v>
      </c>
    </row>
    <row r="453" customFormat="false" ht="15.75" hidden="false" customHeight="false" outlineLevel="0" collapsed="false">
      <c r="A453" s="3" t="n">
        <v>452</v>
      </c>
      <c r="B453" s="3" t="s">
        <v>659</v>
      </c>
      <c r="C453" s="3" t="s">
        <v>105</v>
      </c>
      <c r="D453" s="3" t="s">
        <v>61</v>
      </c>
      <c r="E453" s="3" t="s">
        <v>61</v>
      </c>
      <c r="F453" s="3" t="s">
        <v>635</v>
      </c>
      <c r="G453" s="3" t="s">
        <v>79</v>
      </c>
      <c r="H453" s="3" t="n">
        <v>0.666</v>
      </c>
      <c r="I453" s="13" t="n">
        <f aca="false">IF(G453=E453,1,0)</f>
        <v>0</v>
      </c>
    </row>
    <row r="454" customFormat="false" ht="15.75" hidden="false" customHeight="false" outlineLevel="0" collapsed="false">
      <c r="A454" s="3" t="n">
        <v>453</v>
      </c>
      <c r="B454" s="3" t="s">
        <v>660</v>
      </c>
      <c r="C454" s="3" t="s">
        <v>105</v>
      </c>
      <c r="D454" s="3" t="s">
        <v>61</v>
      </c>
      <c r="E454" s="3" t="s">
        <v>61</v>
      </c>
      <c r="F454" s="3" t="s">
        <v>638</v>
      </c>
      <c r="G454" s="3" t="s">
        <v>61</v>
      </c>
      <c r="H454" s="3" t="n">
        <v>0.665</v>
      </c>
      <c r="I454" s="13" t="n">
        <f aca="false">IF(G454=E454,1,0)</f>
        <v>1</v>
      </c>
    </row>
    <row r="455" customFormat="false" ht="15.75" hidden="false" customHeight="false" outlineLevel="0" collapsed="false">
      <c r="A455" s="3" t="n">
        <v>454</v>
      </c>
      <c r="B455" s="3" t="s">
        <v>661</v>
      </c>
      <c r="C455" s="3" t="s">
        <v>105</v>
      </c>
      <c r="D455" s="3" t="s">
        <v>61</v>
      </c>
      <c r="E455" s="3" t="s">
        <v>61</v>
      </c>
      <c r="F455" s="3" t="s">
        <v>638</v>
      </c>
      <c r="G455" s="3" t="s">
        <v>61</v>
      </c>
      <c r="H455" s="3" t="n">
        <v>0.658</v>
      </c>
      <c r="I455" s="13" t="n">
        <f aca="false">IF(G455=E455,1,0)</f>
        <v>1</v>
      </c>
    </row>
    <row r="456" customFormat="false" ht="15.75" hidden="false" customHeight="false" outlineLevel="0" collapsed="false">
      <c r="A456" s="3" t="n">
        <v>455</v>
      </c>
      <c r="B456" s="3" t="s">
        <v>662</v>
      </c>
      <c r="C456" s="3" t="s">
        <v>143</v>
      </c>
      <c r="D456" s="3" t="s">
        <v>198</v>
      </c>
      <c r="E456" s="3" t="s">
        <v>67</v>
      </c>
      <c r="F456" s="3" t="s">
        <v>643</v>
      </c>
      <c r="G456" s="3" t="s">
        <v>83</v>
      </c>
      <c r="H456" s="3" t="n">
        <v>0.651</v>
      </c>
      <c r="I456" s="13" t="n">
        <f aca="false">IF(G456=E456,1,0)</f>
        <v>0</v>
      </c>
    </row>
    <row r="457" customFormat="false" ht="15.75" hidden="false" customHeight="false" outlineLevel="0" collapsed="false">
      <c r="A457" s="3" t="n">
        <v>456</v>
      </c>
      <c r="B457" s="3" t="s">
        <v>663</v>
      </c>
      <c r="C457" s="3" t="s">
        <v>105</v>
      </c>
      <c r="D457" s="3" t="s">
        <v>61</v>
      </c>
      <c r="E457" s="3" t="s">
        <v>61</v>
      </c>
      <c r="F457" s="3" t="s">
        <v>635</v>
      </c>
      <c r="G457" s="3" t="s">
        <v>79</v>
      </c>
      <c r="H457" s="3" t="n">
        <v>0.65</v>
      </c>
      <c r="I457" s="13" t="n">
        <f aca="false">IF(G457=E457,1,0)</f>
        <v>0</v>
      </c>
    </row>
    <row r="458" customFormat="false" ht="15.75" hidden="false" customHeight="false" outlineLevel="0" collapsed="false">
      <c r="A458" s="3" t="n">
        <v>457</v>
      </c>
      <c r="B458" s="3" t="s">
        <v>664</v>
      </c>
      <c r="C458" s="3" t="s">
        <v>143</v>
      </c>
      <c r="D458" s="3" t="s">
        <v>198</v>
      </c>
      <c r="E458" s="3" t="s">
        <v>67</v>
      </c>
      <c r="F458" s="3" t="s">
        <v>638</v>
      </c>
      <c r="G458" s="3" t="s">
        <v>61</v>
      </c>
      <c r="H458" s="3" t="n">
        <v>0.649</v>
      </c>
      <c r="I458" s="13" t="n">
        <f aca="false">IF(G458=E458,1,0)</f>
        <v>0</v>
      </c>
    </row>
    <row r="459" customFormat="false" ht="15.75" hidden="false" customHeight="false" outlineLevel="0" collapsed="false">
      <c r="A459" s="3" t="n">
        <v>458</v>
      </c>
      <c r="B459" s="3" t="s">
        <v>665</v>
      </c>
      <c r="C459" s="3" t="s">
        <v>105</v>
      </c>
      <c r="D459" s="3" t="s">
        <v>61</v>
      </c>
      <c r="E459" s="3" t="s">
        <v>61</v>
      </c>
      <c r="F459" s="3" t="s">
        <v>635</v>
      </c>
      <c r="G459" s="3" t="s">
        <v>69</v>
      </c>
      <c r="H459" s="3" t="n">
        <v>0.647</v>
      </c>
      <c r="I459" s="13" t="n">
        <f aca="false">IF(G459=E459,1,0)</f>
        <v>0</v>
      </c>
    </row>
    <row r="460" customFormat="false" ht="15.75" hidden="false" customHeight="false" outlineLevel="0" collapsed="false">
      <c r="A460" s="3" t="n">
        <v>459</v>
      </c>
      <c r="B460" s="3" t="s">
        <v>666</v>
      </c>
      <c r="C460" s="3" t="s">
        <v>143</v>
      </c>
      <c r="D460" s="3" t="s">
        <v>288</v>
      </c>
      <c r="E460" s="3" t="s">
        <v>288</v>
      </c>
      <c r="F460" s="3" t="s">
        <v>638</v>
      </c>
      <c r="G460" s="3" t="s">
        <v>77</v>
      </c>
      <c r="H460" s="3" t="n">
        <v>0.646</v>
      </c>
      <c r="I460" s="13" t="n">
        <f aca="false">IF(G460=E460,1,0)</f>
        <v>0</v>
      </c>
    </row>
    <row r="461" customFormat="false" ht="15.75" hidden="false" customHeight="false" outlineLevel="0" collapsed="false">
      <c r="A461" s="3" t="n">
        <v>460</v>
      </c>
      <c r="B461" s="3" t="s">
        <v>667</v>
      </c>
      <c r="C461" s="3" t="s">
        <v>143</v>
      </c>
      <c r="D461" s="3" t="s">
        <v>288</v>
      </c>
      <c r="E461" s="3" t="s">
        <v>288</v>
      </c>
      <c r="F461" s="3" t="s">
        <v>638</v>
      </c>
      <c r="G461" s="3" t="s">
        <v>59</v>
      </c>
      <c r="H461" s="3" t="n">
        <v>0.645</v>
      </c>
      <c r="I461" s="13" t="n">
        <f aca="false">IF(G461=E461,1,0)</f>
        <v>0</v>
      </c>
    </row>
    <row r="462" customFormat="false" ht="15.75" hidden="false" customHeight="false" outlineLevel="0" collapsed="false">
      <c r="A462" s="3" t="n">
        <v>461</v>
      </c>
      <c r="B462" s="3" t="s">
        <v>668</v>
      </c>
      <c r="C462" s="3" t="s">
        <v>105</v>
      </c>
      <c r="D462" s="3" t="s">
        <v>61</v>
      </c>
      <c r="E462" s="3" t="s">
        <v>61</v>
      </c>
      <c r="F462" s="3" t="s">
        <v>635</v>
      </c>
      <c r="G462" s="3" t="s">
        <v>69</v>
      </c>
      <c r="H462" s="3" t="n">
        <v>0.635</v>
      </c>
      <c r="I462" s="13" t="n">
        <f aca="false">IF(G462=E462,1,0)</f>
        <v>0</v>
      </c>
    </row>
    <row r="463" customFormat="false" ht="15.75" hidden="false" customHeight="false" outlineLevel="0" collapsed="false">
      <c r="A463" s="3" t="n">
        <v>462</v>
      </c>
      <c r="B463" s="3" t="s">
        <v>669</v>
      </c>
      <c r="C463" s="3" t="s">
        <v>105</v>
      </c>
      <c r="D463" s="3" t="s">
        <v>61</v>
      </c>
      <c r="E463" s="3" t="s">
        <v>61</v>
      </c>
      <c r="F463" s="3" t="s">
        <v>643</v>
      </c>
      <c r="G463" s="3" t="s">
        <v>83</v>
      </c>
      <c r="H463" s="3" t="n">
        <v>0.633</v>
      </c>
      <c r="I463" s="13" t="n">
        <f aca="false">IF(G463=E463,1,0)</f>
        <v>0</v>
      </c>
    </row>
    <row r="464" customFormat="false" ht="15.75" hidden="false" customHeight="false" outlineLevel="0" collapsed="false">
      <c r="A464" s="3" t="n">
        <v>463</v>
      </c>
      <c r="B464" s="3" t="s">
        <v>670</v>
      </c>
      <c r="C464" s="3" t="s">
        <v>105</v>
      </c>
      <c r="D464" s="3" t="s">
        <v>61</v>
      </c>
      <c r="E464" s="3" t="s">
        <v>61</v>
      </c>
      <c r="F464" s="3" t="s">
        <v>638</v>
      </c>
      <c r="G464" s="3" t="s">
        <v>61</v>
      </c>
      <c r="H464" s="3" t="n">
        <v>0.631</v>
      </c>
      <c r="I464" s="13" t="n">
        <f aca="false">IF(G464=E464,1,0)</f>
        <v>1</v>
      </c>
    </row>
    <row r="465" customFormat="false" ht="15.75" hidden="false" customHeight="false" outlineLevel="0" collapsed="false">
      <c r="A465" s="3" t="n">
        <v>464</v>
      </c>
      <c r="B465" s="3" t="s">
        <v>671</v>
      </c>
      <c r="C465" s="3" t="s">
        <v>143</v>
      </c>
      <c r="D465" s="3" t="s">
        <v>198</v>
      </c>
      <c r="E465" s="3" t="s">
        <v>67</v>
      </c>
      <c r="F465" s="3" t="s">
        <v>633</v>
      </c>
      <c r="G465" s="3" t="s">
        <v>65</v>
      </c>
      <c r="H465" s="3" t="n">
        <v>0.631</v>
      </c>
      <c r="I465" s="13" t="n">
        <f aca="false">IF(G465=E465,1,0)</f>
        <v>0</v>
      </c>
    </row>
    <row r="466" customFormat="false" ht="15.75" hidden="false" customHeight="false" outlineLevel="0" collapsed="false">
      <c r="A466" s="3" t="n">
        <v>465</v>
      </c>
      <c r="B466" s="3" t="s">
        <v>672</v>
      </c>
      <c r="C466" s="3" t="s">
        <v>143</v>
      </c>
      <c r="D466" s="3" t="s">
        <v>351</v>
      </c>
      <c r="E466" s="3" t="s">
        <v>351</v>
      </c>
      <c r="F466" s="3" t="s">
        <v>643</v>
      </c>
      <c r="G466" s="3" t="s">
        <v>71</v>
      </c>
      <c r="H466" s="3" t="n">
        <v>0.629</v>
      </c>
      <c r="I466" s="13" t="n">
        <f aca="false">IF(G466=E466,1,0)</f>
        <v>0</v>
      </c>
    </row>
    <row r="467" customFormat="false" ht="15.75" hidden="false" customHeight="false" outlineLevel="0" collapsed="false">
      <c r="A467" s="3" t="n">
        <v>466</v>
      </c>
      <c r="B467" s="3" t="s">
        <v>673</v>
      </c>
      <c r="C467" s="3" t="s">
        <v>105</v>
      </c>
      <c r="D467" s="3" t="s">
        <v>55</v>
      </c>
      <c r="E467" s="3" t="s">
        <v>55</v>
      </c>
      <c r="F467" s="3" t="s">
        <v>635</v>
      </c>
      <c r="G467" s="3" t="s">
        <v>79</v>
      </c>
      <c r="H467" s="3" t="n">
        <v>0.628</v>
      </c>
      <c r="I467" s="13" t="n">
        <f aca="false">IF(G467=E467,1,0)</f>
        <v>0</v>
      </c>
    </row>
    <row r="468" customFormat="false" ht="15.75" hidden="false" customHeight="false" outlineLevel="0" collapsed="false">
      <c r="A468" s="3" t="n">
        <v>467</v>
      </c>
      <c r="B468" s="3" t="s">
        <v>674</v>
      </c>
      <c r="C468" s="3" t="s">
        <v>105</v>
      </c>
      <c r="D468" s="3" t="s">
        <v>61</v>
      </c>
      <c r="E468" s="3" t="s">
        <v>61</v>
      </c>
      <c r="F468" s="3" t="s">
        <v>635</v>
      </c>
      <c r="G468" s="3" t="s">
        <v>79</v>
      </c>
      <c r="H468" s="3" t="n">
        <v>0.627</v>
      </c>
      <c r="I468" s="13" t="n">
        <f aca="false">IF(G468=E468,1,0)</f>
        <v>0</v>
      </c>
    </row>
    <row r="469" customFormat="false" ht="15.75" hidden="false" customHeight="false" outlineLevel="0" collapsed="false">
      <c r="A469" s="3" t="n">
        <v>468</v>
      </c>
      <c r="B469" s="3" t="s">
        <v>675</v>
      </c>
      <c r="C469" s="3" t="s">
        <v>105</v>
      </c>
      <c r="D469" s="3" t="s">
        <v>77</v>
      </c>
      <c r="E469" s="3" t="s">
        <v>77</v>
      </c>
      <c r="F469" s="3" t="s">
        <v>638</v>
      </c>
      <c r="G469" s="3" t="s">
        <v>77</v>
      </c>
      <c r="H469" s="3" t="n">
        <v>0.626</v>
      </c>
      <c r="I469" s="13" t="n">
        <f aca="false">IF(G469=E469,1,0)</f>
        <v>1</v>
      </c>
    </row>
    <row r="470" customFormat="false" ht="15.75" hidden="false" customHeight="false" outlineLevel="0" collapsed="false">
      <c r="A470" s="3" t="n">
        <v>469</v>
      </c>
      <c r="B470" s="3" t="s">
        <v>676</v>
      </c>
      <c r="C470" s="3" t="s">
        <v>105</v>
      </c>
      <c r="D470" s="3" t="s">
        <v>61</v>
      </c>
      <c r="E470" s="3" t="s">
        <v>61</v>
      </c>
      <c r="F470" s="3" t="s">
        <v>635</v>
      </c>
      <c r="G470" s="3" t="s">
        <v>79</v>
      </c>
      <c r="H470" s="3" t="n">
        <v>0.625</v>
      </c>
      <c r="I470" s="13" t="n">
        <f aca="false">IF(G470=E470,1,0)</f>
        <v>0</v>
      </c>
    </row>
    <row r="471" customFormat="false" ht="15.75" hidden="false" customHeight="false" outlineLevel="0" collapsed="false">
      <c r="A471" s="3" t="n">
        <v>470</v>
      </c>
      <c r="B471" s="3" t="s">
        <v>677</v>
      </c>
      <c r="C471" s="3" t="s">
        <v>143</v>
      </c>
      <c r="D471" s="3" t="s">
        <v>351</v>
      </c>
      <c r="E471" s="3" t="s">
        <v>351</v>
      </c>
      <c r="F471" s="3" t="s">
        <v>643</v>
      </c>
      <c r="G471" s="3" t="s">
        <v>85</v>
      </c>
      <c r="H471" s="3" t="n">
        <v>0.624</v>
      </c>
      <c r="I471" s="13" t="n">
        <f aca="false">IF(G471=E471,1,0)</f>
        <v>0</v>
      </c>
    </row>
    <row r="472" customFormat="false" ht="15.75" hidden="false" customHeight="false" outlineLevel="0" collapsed="false">
      <c r="A472" s="3" t="n">
        <v>471</v>
      </c>
      <c r="B472" s="3" t="s">
        <v>678</v>
      </c>
      <c r="C472" s="3" t="s">
        <v>143</v>
      </c>
      <c r="D472" s="3" t="s">
        <v>288</v>
      </c>
      <c r="E472" s="3" t="s">
        <v>288</v>
      </c>
      <c r="F472" s="3" t="s">
        <v>643</v>
      </c>
      <c r="G472" s="3" t="s">
        <v>83</v>
      </c>
      <c r="H472" s="3" t="n">
        <v>0.621</v>
      </c>
      <c r="I472" s="13" t="n">
        <f aca="false">IF(G472=E472,1,0)</f>
        <v>0</v>
      </c>
    </row>
    <row r="473" customFormat="false" ht="15.75" hidden="false" customHeight="false" outlineLevel="0" collapsed="false">
      <c r="A473" s="3" t="n">
        <v>472</v>
      </c>
      <c r="B473" s="3" t="s">
        <v>127</v>
      </c>
      <c r="C473" s="3" t="s">
        <v>105</v>
      </c>
      <c r="D473" s="3" t="s">
        <v>61</v>
      </c>
      <c r="E473" s="3" t="s">
        <v>61</v>
      </c>
      <c r="F473" s="3" t="s">
        <v>635</v>
      </c>
      <c r="G473" s="3" t="s">
        <v>67</v>
      </c>
      <c r="H473" s="3" t="n">
        <v>0.62</v>
      </c>
      <c r="I473" s="13" t="n">
        <f aca="false">IF(G473=E473,1,0)</f>
        <v>0</v>
      </c>
    </row>
    <row r="474" customFormat="false" ht="15.75" hidden="false" customHeight="false" outlineLevel="0" collapsed="false">
      <c r="A474" s="3" t="n">
        <v>473</v>
      </c>
      <c r="B474" s="3" t="s">
        <v>679</v>
      </c>
      <c r="C474" s="3" t="s">
        <v>105</v>
      </c>
      <c r="D474" s="3" t="s">
        <v>61</v>
      </c>
      <c r="E474" s="3" t="s">
        <v>61</v>
      </c>
      <c r="F474" s="3" t="s">
        <v>643</v>
      </c>
      <c r="G474" s="3" t="s">
        <v>83</v>
      </c>
      <c r="H474" s="3" t="n">
        <v>0.62</v>
      </c>
      <c r="I474" s="13" t="n">
        <f aca="false">IF(G474=E474,1,0)</f>
        <v>0</v>
      </c>
    </row>
    <row r="475" customFormat="false" ht="15.75" hidden="false" customHeight="false" outlineLevel="0" collapsed="false">
      <c r="A475" s="3" t="n">
        <v>474</v>
      </c>
      <c r="B475" s="3" t="s">
        <v>680</v>
      </c>
      <c r="C475" s="3" t="s">
        <v>105</v>
      </c>
      <c r="D475" s="3" t="s">
        <v>61</v>
      </c>
      <c r="E475" s="3" t="s">
        <v>61</v>
      </c>
      <c r="F475" s="3" t="s">
        <v>638</v>
      </c>
      <c r="G475" s="3" t="s">
        <v>77</v>
      </c>
      <c r="H475" s="3" t="n">
        <v>0.619</v>
      </c>
      <c r="I475" s="13" t="n">
        <f aca="false">IF(G475=E475,1,0)</f>
        <v>0</v>
      </c>
    </row>
    <row r="476" customFormat="false" ht="15.75" hidden="false" customHeight="false" outlineLevel="0" collapsed="false">
      <c r="A476" s="3" t="n">
        <v>475</v>
      </c>
      <c r="B476" s="3" t="s">
        <v>681</v>
      </c>
      <c r="C476" s="3" t="s">
        <v>105</v>
      </c>
      <c r="D476" s="3" t="s">
        <v>61</v>
      </c>
      <c r="E476" s="3" t="s">
        <v>61</v>
      </c>
      <c r="F476" s="3" t="s">
        <v>635</v>
      </c>
      <c r="G476" s="3" t="s">
        <v>79</v>
      </c>
      <c r="H476" s="3" t="n">
        <v>0.619</v>
      </c>
      <c r="I476" s="13" t="n">
        <f aca="false">IF(G476=E476,1,0)</f>
        <v>0</v>
      </c>
    </row>
    <row r="477" customFormat="false" ht="15.75" hidden="false" customHeight="false" outlineLevel="0" collapsed="false">
      <c r="A477" s="3" t="n">
        <v>476</v>
      </c>
      <c r="B477" s="3" t="s">
        <v>682</v>
      </c>
      <c r="C477" s="3" t="s">
        <v>105</v>
      </c>
      <c r="D477" s="3" t="s">
        <v>77</v>
      </c>
      <c r="E477" s="3" t="s">
        <v>77</v>
      </c>
      <c r="F477" s="3" t="s">
        <v>633</v>
      </c>
      <c r="G477" s="3" t="s">
        <v>65</v>
      </c>
      <c r="H477" s="3" t="n">
        <v>0.619</v>
      </c>
      <c r="I477" s="13" t="n">
        <f aca="false">IF(G477=E477,1,0)</f>
        <v>0</v>
      </c>
    </row>
    <row r="478" customFormat="false" ht="15.75" hidden="false" customHeight="false" outlineLevel="0" collapsed="false">
      <c r="A478" s="3" t="n">
        <v>477</v>
      </c>
      <c r="B478" s="3" t="s">
        <v>683</v>
      </c>
      <c r="C478" s="3" t="s">
        <v>105</v>
      </c>
      <c r="D478" s="3" t="s">
        <v>61</v>
      </c>
      <c r="E478" s="3" t="s">
        <v>61</v>
      </c>
      <c r="F478" s="3" t="s">
        <v>638</v>
      </c>
      <c r="G478" s="3" t="s">
        <v>77</v>
      </c>
      <c r="H478" s="3" t="n">
        <v>0.619</v>
      </c>
      <c r="I478" s="13" t="n">
        <f aca="false">IF(G478=E478,1,0)</f>
        <v>0</v>
      </c>
    </row>
    <row r="479" customFormat="false" ht="15.75" hidden="false" customHeight="false" outlineLevel="0" collapsed="false">
      <c r="A479" s="3" t="n">
        <v>478</v>
      </c>
      <c r="B479" s="3" t="s">
        <v>684</v>
      </c>
      <c r="C479" s="3" t="s">
        <v>105</v>
      </c>
      <c r="D479" s="3" t="s">
        <v>61</v>
      </c>
      <c r="E479" s="3" t="s">
        <v>61</v>
      </c>
      <c r="F479" s="3" t="s">
        <v>638</v>
      </c>
      <c r="G479" s="3" t="s">
        <v>61</v>
      </c>
      <c r="H479" s="3" t="n">
        <v>0.618</v>
      </c>
      <c r="I479" s="13" t="n">
        <f aca="false">IF(G479=E479,1,0)</f>
        <v>1</v>
      </c>
    </row>
    <row r="480" customFormat="false" ht="15.75" hidden="false" customHeight="false" outlineLevel="0" collapsed="false">
      <c r="A480" s="3" t="n">
        <v>479</v>
      </c>
      <c r="B480" s="3" t="s">
        <v>685</v>
      </c>
      <c r="C480" s="3" t="s">
        <v>105</v>
      </c>
      <c r="D480" s="3" t="s">
        <v>61</v>
      </c>
      <c r="E480" s="3" t="s">
        <v>61</v>
      </c>
      <c r="F480" s="3" t="s">
        <v>643</v>
      </c>
      <c r="G480" s="3" t="s">
        <v>63</v>
      </c>
      <c r="H480" s="3" t="n">
        <v>0.618</v>
      </c>
      <c r="I480" s="13" t="n">
        <f aca="false">IF(G480=E480,1,0)</f>
        <v>0</v>
      </c>
    </row>
    <row r="481" customFormat="false" ht="15.75" hidden="false" customHeight="false" outlineLevel="0" collapsed="false">
      <c r="A481" s="3" t="n">
        <v>480</v>
      </c>
      <c r="B481" s="3" t="s">
        <v>686</v>
      </c>
      <c r="C481" s="3" t="s">
        <v>105</v>
      </c>
      <c r="D481" s="3" t="s">
        <v>61</v>
      </c>
      <c r="E481" s="3" t="s">
        <v>61</v>
      </c>
      <c r="F481" s="3" t="s">
        <v>633</v>
      </c>
      <c r="G481" s="3" t="s">
        <v>65</v>
      </c>
      <c r="H481" s="3" t="n">
        <v>0.616</v>
      </c>
      <c r="I481" s="13" t="n">
        <f aca="false">IF(G481=E481,1,0)</f>
        <v>0</v>
      </c>
    </row>
    <row r="482" customFormat="false" ht="15.75" hidden="false" customHeight="false" outlineLevel="0" collapsed="false">
      <c r="A482" s="3" t="n">
        <v>481</v>
      </c>
      <c r="B482" s="3" t="s">
        <v>687</v>
      </c>
      <c r="C482" s="3" t="s">
        <v>532</v>
      </c>
      <c r="F482" s="3" t="s">
        <v>638</v>
      </c>
      <c r="G482" s="3" t="s">
        <v>61</v>
      </c>
      <c r="H482" s="3" t="n">
        <v>0.616</v>
      </c>
      <c r="I482" s="13" t="n">
        <f aca="false">IF(G482=E482,1,0)</f>
        <v>0</v>
      </c>
    </row>
    <row r="483" customFormat="false" ht="15.75" hidden="false" customHeight="false" outlineLevel="0" collapsed="false">
      <c r="A483" s="3" t="n">
        <v>482</v>
      </c>
      <c r="B483" s="3" t="s">
        <v>688</v>
      </c>
      <c r="C483" s="3" t="s">
        <v>105</v>
      </c>
      <c r="D483" s="3" t="s">
        <v>61</v>
      </c>
      <c r="E483" s="3" t="s">
        <v>61</v>
      </c>
      <c r="F483" s="3" t="s">
        <v>638</v>
      </c>
      <c r="G483" s="3" t="s">
        <v>61</v>
      </c>
      <c r="H483" s="3" t="n">
        <v>0.614</v>
      </c>
      <c r="I483" s="13" t="n">
        <f aca="false">IF(G483=E483,1,0)</f>
        <v>1</v>
      </c>
    </row>
    <row r="484" customFormat="false" ht="15.75" hidden="false" customHeight="false" outlineLevel="0" collapsed="false">
      <c r="A484" s="3" t="n">
        <v>483</v>
      </c>
      <c r="B484" s="3" t="s">
        <v>689</v>
      </c>
      <c r="C484" s="3" t="s">
        <v>105</v>
      </c>
      <c r="D484" s="3" t="s">
        <v>61</v>
      </c>
      <c r="E484" s="3" t="s">
        <v>61</v>
      </c>
      <c r="F484" s="3" t="s">
        <v>633</v>
      </c>
      <c r="G484" s="3" t="s">
        <v>65</v>
      </c>
      <c r="H484" s="3" t="n">
        <v>0.614</v>
      </c>
      <c r="I484" s="13" t="n">
        <f aca="false">IF(G484=E484,1,0)</f>
        <v>0</v>
      </c>
    </row>
    <row r="485" customFormat="false" ht="15.75" hidden="false" customHeight="false" outlineLevel="0" collapsed="false">
      <c r="A485" s="3" t="n">
        <v>484</v>
      </c>
      <c r="B485" s="3" t="s">
        <v>690</v>
      </c>
      <c r="C485" s="3" t="s">
        <v>105</v>
      </c>
      <c r="D485" s="3" t="s">
        <v>61</v>
      </c>
      <c r="E485" s="3" t="s">
        <v>61</v>
      </c>
      <c r="F485" s="3" t="s">
        <v>635</v>
      </c>
      <c r="G485" s="3" t="s">
        <v>67</v>
      </c>
      <c r="H485" s="3" t="n">
        <v>0.611</v>
      </c>
      <c r="I485" s="13" t="n">
        <f aca="false">IF(G485=E485,1,0)</f>
        <v>0</v>
      </c>
    </row>
    <row r="486" customFormat="false" ht="15.75" hidden="false" customHeight="false" outlineLevel="0" collapsed="false">
      <c r="A486" s="3" t="n">
        <v>485</v>
      </c>
      <c r="B486" s="3" t="s">
        <v>691</v>
      </c>
      <c r="C486" s="3" t="s">
        <v>143</v>
      </c>
      <c r="D486" s="3" t="s">
        <v>198</v>
      </c>
      <c r="E486" s="3" t="s">
        <v>67</v>
      </c>
      <c r="F486" s="3" t="s">
        <v>638</v>
      </c>
      <c r="G486" s="3" t="s">
        <v>77</v>
      </c>
      <c r="H486" s="3" t="n">
        <v>0.609</v>
      </c>
      <c r="I486" s="13" t="n">
        <f aca="false">IF(G486=E486,1,0)</f>
        <v>0</v>
      </c>
    </row>
    <row r="487" customFormat="false" ht="15.75" hidden="false" customHeight="false" outlineLevel="0" collapsed="false">
      <c r="A487" s="3" t="n">
        <v>486</v>
      </c>
      <c r="B487" s="3" t="s">
        <v>692</v>
      </c>
      <c r="C487" s="3" t="s">
        <v>105</v>
      </c>
      <c r="D487" s="3" t="s">
        <v>77</v>
      </c>
      <c r="E487" s="3" t="s">
        <v>77</v>
      </c>
      <c r="F487" s="3" t="s">
        <v>635</v>
      </c>
      <c r="G487" s="3" t="s">
        <v>69</v>
      </c>
      <c r="H487" s="3" t="n">
        <v>0.608</v>
      </c>
      <c r="I487" s="13" t="n">
        <f aca="false">IF(G487=E487,1,0)</f>
        <v>0</v>
      </c>
    </row>
    <row r="488" customFormat="false" ht="15.75" hidden="false" customHeight="false" outlineLevel="0" collapsed="false">
      <c r="A488" s="3" t="n">
        <v>487</v>
      </c>
      <c r="B488" s="3" t="s">
        <v>693</v>
      </c>
      <c r="C488" s="3" t="s">
        <v>143</v>
      </c>
      <c r="D488" s="3" t="s">
        <v>198</v>
      </c>
      <c r="E488" s="3" t="s">
        <v>67</v>
      </c>
      <c r="F488" s="3" t="s">
        <v>635</v>
      </c>
      <c r="G488" s="3" t="s">
        <v>69</v>
      </c>
      <c r="H488" s="3" t="n">
        <v>0.605</v>
      </c>
      <c r="I488" s="13" t="n">
        <f aca="false">IF(G488=E488,1,0)</f>
        <v>0</v>
      </c>
    </row>
    <row r="489" customFormat="false" ht="15.75" hidden="false" customHeight="false" outlineLevel="0" collapsed="false">
      <c r="A489" s="3" t="n">
        <v>488</v>
      </c>
      <c r="B489" s="3" t="s">
        <v>694</v>
      </c>
      <c r="C489" s="3" t="s">
        <v>143</v>
      </c>
      <c r="D489" s="3" t="s">
        <v>288</v>
      </c>
      <c r="E489" s="3" t="s">
        <v>288</v>
      </c>
      <c r="F489" s="3" t="s">
        <v>638</v>
      </c>
      <c r="G489" s="3" t="s">
        <v>61</v>
      </c>
      <c r="H489" s="3" t="n">
        <v>0.603</v>
      </c>
      <c r="I489" s="13" t="n">
        <f aca="false">IF(G489=E489,1,0)</f>
        <v>0</v>
      </c>
    </row>
    <row r="490" customFormat="false" ht="15.75" hidden="false" customHeight="false" outlineLevel="0" collapsed="false">
      <c r="A490" s="3" t="n">
        <v>489</v>
      </c>
      <c r="B490" s="3" t="s">
        <v>695</v>
      </c>
      <c r="C490" s="3" t="s">
        <v>105</v>
      </c>
      <c r="D490" s="3" t="s">
        <v>61</v>
      </c>
      <c r="E490" s="3" t="s">
        <v>61</v>
      </c>
      <c r="F490" s="3" t="s">
        <v>638</v>
      </c>
      <c r="G490" s="3" t="s">
        <v>61</v>
      </c>
      <c r="H490" s="3" t="n">
        <v>0.602</v>
      </c>
      <c r="I490" s="13" t="n">
        <f aca="false">IF(G490=E490,1,0)</f>
        <v>1</v>
      </c>
    </row>
    <row r="491" customFormat="false" ht="15.75" hidden="false" customHeight="false" outlineLevel="0" collapsed="false">
      <c r="A491" s="3" t="n">
        <v>490</v>
      </c>
      <c r="B491" s="3" t="s">
        <v>696</v>
      </c>
      <c r="C491" s="3" t="s">
        <v>143</v>
      </c>
      <c r="D491" s="3" t="s">
        <v>288</v>
      </c>
      <c r="E491" s="3" t="s">
        <v>288</v>
      </c>
      <c r="F491" s="3" t="s">
        <v>643</v>
      </c>
      <c r="G491" s="3" t="s">
        <v>75</v>
      </c>
      <c r="H491" s="3" t="n">
        <v>0.6</v>
      </c>
      <c r="I491" s="13" t="n">
        <f aca="false">IF(G491=E491,1,0)</f>
        <v>0</v>
      </c>
    </row>
    <row r="492" customFormat="false" ht="15.75" hidden="false" customHeight="false" outlineLevel="0" collapsed="false">
      <c r="A492" s="3" t="n">
        <v>491</v>
      </c>
      <c r="B492" s="3" t="s">
        <v>697</v>
      </c>
      <c r="C492" s="3" t="s">
        <v>143</v>
      </c>
      <c r="D492" s="3" t="s">
        <v>351</v>
      </c>
      <c r="E492" s="3" t="s">
        <v>351</v>
      </c>
      <c r="F492" s="3" t="s">
        <v>635</v>
      </c>
      <c r="G492" s="3" t="s">
        <v>67</v>
      </c>
      <c r="H492" s="3" t="n">
        <v>0.6</v>
      </c>
      <c r="I492" s="13" t="n">
        <f aca="false">IF(G492=E492,1,0)</f>
        <v>0</v>
      </c>
    </row>
    <row r="493" customFormat="false" ht="15.75" hidden="false" customHeight="false" outlineLevel="0" collapsed="false">
      <c r="A493" s="3" t="n">
        <v>492</v>
      </c>
      <c r="B493" s="3" t="s">
        <v>698</v>
      </c>
      <c r="C493" s="3" t="s">
        <v>105</v>
      </c>
      <c r="D493" s="3" t="s">
        <v>61</v>
      </c>
      <c r="E493" s="3" t="s">
        <v>61</v>
      </c>
      <c r="F493" s="3" t="s">
        <v>643</v>
      </c>
      <c r="G493" s="3" t="s">
        <v>83</v>
      </c>
      <c r="H493" s="3" t="n">
        <v>0.599</v>
      </c>
      <c r="I493" s="13" t="n">
        <f aca="false">IF(G493=E493,1,0)</f>
        <v>0</v>
      </c>
    </row>
    <row r="494" customFormat="false" ht="15.75" hidden="false" customHeight="false" outlineLevel="0" collapsed="false">
      <c r="A494" s="3" t="n">
        <v>493</v>
      </c>
      <c r="B494" s="3" t="s">
        <v>699</v>
      </c>
      <c r="C494" s="3" t="s">
        <v>150</v>
      </c>
      <c r="D494" s="3" t="s">
        <v>245</v>
      </c>
      <c r="E494" s="3" t="s">
        <v>83</v>
      </c>
      <c r="F494" s="3" t="s">
        <v>633</v>
      </c>
      <c r="G494" s="3" t="s">
        <v>65</v>
      </c>
      <c r="H494" s="3" t="n">
        <v>0.589</v>
      </c>
      <c r="I494" s="13" t="n">
        <f aca="false">IF(G494=E494,1,0)</f>
        <v>0</v>
      </c>
    </row>
    <row r="495" customFormat="false" ht="15.75" hidden="false" customHeight="false" outlineLevel="0" collapsed="false">
      <c r="A495" s="3" t="n">
        <v>494</v>
      </c>
      <c r="B495" s="3" t="s">
        <v>700</v>
      </c>
      <c r="C495" s="3" t="s">
        <v>143</v>
      </c>
      <c r="D495" s="3" t="s">
        <v>589</v>
      </c>
      <c r="E495" s="3" t="s">
        <v>589</v>
      </c>
      <c r="F495" s="3" t="s">
        <v>635</v>
      </c>
      <c r="G495" s="3" t="s">
        <v>79</v>
      </c>
      <c r="H495" s="3" t="n">
        <v>0.587</v>
      </c>
      <c r="I495" s="13" t="n">
        <f aca="false">IF(G495=E495,1,0)</f>
        <v>0</v>
      </c>
    </row>
    <row r="496" customFormat="false" ht="15.75" hidden="false" customHeight="false" outlineLevel="0" collapsed="false">
      <c r="A496" s="3" t="n">
        <v>495</v>
      </c>
      <c r="B496" s="3" t="s">
        <v>701</v>
      </c>
      <c r="C496" s="3" t="s">
        <v>105</v>
      </c>
      <c r="D496" s="3" t="s">
        <v>61</v>
      </c>
      <c r="E496" s="3" t="s">
        <v>61</v>
      </c>
      <c r="F496" s="3" t="s">
        <v>638</v>
      </c>
      <c r="G496" s="3" t="s">
        <v>61</v>
      </c>
      <c r="H496" s="3" t="n">
        <v>0.584</v>
      </c>
      <c r="I496" s="13" t="n">
        <f aca="false">IF(G496=E496,1,0)</f>
        <v>1</v>
      </c>
    </row>
    <row r="497" customFormat="false" ht="15.75" hidden="false" customHeight="false" outlineLevel="0" collapsed="false">
      <c r="A497" s="3" t="n">
        <v>496</v>
      </c>
      <c r="B497" s="3" t="s">
        <v>702</v>
      </c>
      <c r="C497" s="3" t="s">
        <v>143</v>
      </c>
      <c r="D497" s="3" t="s">
        <v>198</v>
      </c>
      <c r="E497" s="3" t="s">
        <v>67</v>
      </c>
      <c r="F497" s="3" t="s">
        <v>635</v>
      </c>
      <c r="G497" s="3" t="s">
        <v>69</v>
      </c>
      <c r="H497" s="3" t="n">
        <v>0.582</v>
      </c>
      <c r="I497" s="13" t="n">
        <f aca="false">IF(G497=E497,1,0)</f>
        <v>0</v>
      </c>
    </row>
    <row r="498" customFormat="false" ht="15.75" hidden="false" customHeight="false" outlineLevel="0" collapsed="false">
      <c r="A498" s="3" t="n">
        <v>497</v>
      </c>
      <c r="B498" s="3" t="s">
        <v>703</v>
      </c>
      <c r="C498" s="3" t="s">
        <v>105</v>
      </c>
      <c r="D498" s="3" t="s">
        <v>61</v>
      </c>
      <c r="E498" s="3" t="s">
        <v>61</v>
      </c>
      <c r="F498" s="3" t="s">
        <v>643</v>
      </c>
      <c r="G498" s="3" t="s">
        <v>83</v>
      </c>
      <c r="H498" s="3" t="n">
        <v>0.582</v>
      </c>
      <c r="I498" s="13" t="n">
        <f aca="false">IF(G498=E498,1,0)</f>
        <v>0</v>
      </c>
    </row>
    <row r="499" customFormat="false" ht="15.75" hidden="false" customHeight="false" outlineLevel="0" collapsed="false">
      <c r="A499" s="3" t="n">
        <v>498</v>
      </c>
      <c r="B499" s="3" t="s">
        <v>704</v>
      </c>
      <c r="C499" s="3" t="s">
        <v>105</v>
      </c>
      <c r="D499" s="3" t="s">
        <v>61</v>
      </c>
      <c r="E499" s="3" t="s">
        <v>61</v>
      </c>
      <c r="F499" s="3" t="s">
        <v>643</v>
      </c>
      <c r="G499" s="3" t="s">
        <v>83</v>
      </c>
      <c r="H499" s="3" t="n">
        <v>0.577</v>
      </c>
      <c r="I499" s="13" t="n">
        <f aca="false">IF(G499=E499,1,0)</f>
        <v>0</v>
      </c>
    </row>
    <row r="500" customFormat="false" ht="15.75" hidden="false" customHeight="false" outlineLevel="0" collapsed="false">
      <c r="A500" s="3" t="n">
        <v>499</v>
      </c>
      <c r="B500" s="3" t="s">
        <v>705</v>
      </c>
      <c r="C500" s="3" t="s">
        <v>105</v>
      </c>
      <c r="D500" s="3" t="s">
        <v>61</v>
      </c>
      <c r="E500" s="3" t="s">
        <v>61</v>
      </c>
      <c r="F500" s="3" t="s">
        <v>638</v>
      </c>
      <c r="G500" s="3" t="s">
        <v>55</v>
      </c>
      <c r="H500" s="3" t="n">
        <v>0.575</v>
      </c>
      <c r="I500" s="13" t="n">
        <f aca="false">IF(G500=E500,1,0)</f>
        <v>0</v>
      </c>
    </row>
    <row r="501" customFormat="false" ht="15.75" hidden="false" customHeight="false" outlineLevel="0" collapsed="false">
      <c r="A501" s="3" t="n">
        <v>500</v>
      </c>
      <c r="B501" s="3" t="s">
        <v>706</v>
      </c>
      <c r="C501" s="3" t="s">
        <v>105</v>
      </c>
      <c r="D501" s="3" t="s">
        <v>61</v>
      </c>
      <c r="E501" s="3" t="s">
        <v>61</v>
      </c>
      <c r="F501" s="3" t="s">
        <v>635</v>
      </c>
      <c r="G501" s="3" t="s">
        <v>69</v>
      </c>
      <c r="H501" s="3" t="n">
        <v>0.574</v>
      </c>
      <c r="I501" s="13" t="n">
        <f aca="false">IF(G501=E501,1,0)</f>
        <v>0</v>
      </c>
    </row>
    <row r="502" customFormat="false" ht="15.75" hidden="false" customHeight="false" outlineLevel="0" collapsed="false">
      <c r="A502" s="3" t="n">
        <v>501</v>
      </c>
      <c r="B502" s="3" t="s">
        <v>707</v>
      </c>
      <c r="C502" s="3" t="s">
        <v>105</v>
      </c>
      <c r="D502" s="3" t="s">
        <v>61</v>
      </c>
      <c r="E502" s="3" t="s">
        <v>61</v>
      </c>
      <c r="F502" s="3" t="s">
        <v>635</v>
      </c>
      <c r="G502" s="3" t="s">
        <v>79</v>
      </c>
      <c r="H502" s="3" t="n">
        <v>0.572</v>
      </c>
      <c r="I502" s="13" t="n">
        <f aca="false">IF(G502=E502,1,0)</f>
        <v>0</v>
      </c>
    </row>
    <row r="503" customFormat="false" ht="15.75" hidden="false" customHeight="false" outlineLevel="0" collapsed="false">
      <c r="A503" s="3" t="n">
        <v>502</v>
      </c>
      <c r="B503" s="3" t="s">
        <v>708</v>
      </c>
      <c r="C503" s="3" t="s">
        <v>143</v>
      </c>
      <c r="D503" s="3" t="s">
        <v>198</v>
      </c>
      <c r="E503" s="3" t="s">
        <v>67</v>
      </c>
      <c r="F503" s="3" t="s">
        <v>635</v>
      </c>
      <c r="G503" s="3" t="s">
        <v>67</v>
      </c>
      <c r="H503" s="3" t="n">
        <v>0.563</v>
      </c>
      <c r="I503" s="13" t="n">
        <f aca="false">IF(G503=E503,1,0)</f>
        <v>1</v>
      </c>
    </row>
    <row r="504" customFormat="false" ht="15.75" hidden="false" customHeight="false" outlineLevel="0" collapsed="false">
      <c r="A504" s="3" t="n">
        <v>503</v>
      </c>
      <c r="B504" s="3" t="s">
        <v>709</v>
      </c>
      <c r="C504" s="3" t="s">
        <v>105</v>
      </c>
      <c r="D504" s="3" t="s">
        <v>61</v>
      </c>
      <c r="E504" s="3" t="s">
        <v>61</v>
      </c>
      <c r="F504" s="3" t="s">
        <v>638</v>
      </c>
      <c r="G504" s="3" t="s">
        <v>61</v>
      </c>
      <c r="H504" s="3" t="n">
        <v>0.563</v>
      </c>
      <c r="I504" s="13" t="n">
        <f aca="false">IF(G504=E504,1,0)</f>
        <v>1</v>
      </c>
    </row>
    <row r="505" customFormat="false" ht="15.75" hidden="false" customHeight="false" outlineLevel="0" collapsed="false">
      <c r="A505" s="3" t="n">
        <v>504</v>
      </c>
      <c r="B505" s="3" t="s">
        <v>710</v>
      </c>
      <c r="C505" s="3" t="s">
        <v>105</v>
      </c>
      <c r="D505" s="3" t="s">
        <v>61</v>
      </c>
      <c r="E505" s="3" t="s">
        <v>61</v>
      </c>
      <c r="F505" s="3" t="s">
        <v>638</v>
      </c>
      <c r="G505" s="3" t="s">
        <v>61</v>
      </c>
      <c r="H505" s="3" t="n">
        <v>0.563</v>
      </c>
      <c r="I505" s="13" t="n">
        <f aca="false">IF(G505=E505,1,0)</f>
        <v>1</v>
      </c>
    </row>
    <row r="506" customFormat="false" ht="15.75" hidden="false" customHeight="false" outlineLevel="0" collapsed="false">
      <c r="A506" s="3" t="n">
        <v>505</v>
      </c>
      <c r="B506" s="3" t="s">
        <v>711</v>
      </c>
      <c r="C506" s="3" t="s">
        <v>105</v>
      </c>
      <c r="D506" s="3" t="s">
        <v>61</v>
      </c>
      <c r="E506" s="3" t="s">
        <v>61</v>
      </c>
      <c r="F506" s="3" t="s">
        <v>635</v>
      </c>
      <c r="G506" s="3" t="s">
        <v>79</v>
      </c>
      <c r="H506" s="3" t="n">
        <v>0.56</v>
      </c>
      <c r="I506" s="13" t="n">
        <f aca="false">IF(G506=E506,1,0)</f>
        <v>0</v>
      </c>
    </row>
    <row r="507" customFormat="false" ht="15.75" hidden="false" customHeight="false" outlineLevel="0" collapsed="false">
      <c r="A507" s="3" t="n">
        <v>506</v>
      </c>
      <c r="B507" s="3" t="s">
        <v>712</v>
      </c>
      <c r="C507" s="3" t="s">
        <v>143</v>
      </c>
      <c r="D507" s="3" t="s">
        <v>198</v>
      </c>
      <c r="E507" s="3" t="s">
        <v>67</v>
      </c>
      <c r="F507" s="3" t="s">
        <v>635</v>
      </c>
      <c r="G507" s="3" t="s">
        <v>69</v>
      </c>
      <c r="H507" s="3" t="n">
        <v>0.558</v>
      </c>
      <c r="I507" s="13" t="n">
        <f aca="false">IF(G507=E507,1,0)</f>
        <v>0</v>
      </c>
    </row>
    <row r="508" customFormat="false" ht="15.75" hidden="false" customHeight="false" outlineLevel="0" collapsed="false">
      <c r="A508" s="3" t="n">
        <v>507</v>
      </c>
      <c r="B508" s="3" t="s">
        <v>713</v>
      </c>
      <c r="C508" s="3" t="s">
        <v>105</v>
      </c>
      <c r="D508" s="3" t="s">
        <v>77</v>
      </c>
      <c r="E508" s="3" t="s">
        <v>77</v>
      </c>
      <c r="F508" s="3" t="s">
        <v>643</v>
      </c>
      <c r="G508" s="3" t="s">
        <v>83</v>
      </c>
      <c r="H508" s="3" t="n">
        <v>0.557</v>
      </c>
      <c r="I508" s="13" t="n">
        <f aca="false">IF(G508=E508,1,0)</f>
        <v>0</v>
      </c>
    </row>
    <row r="509" customFormat="false" ht="15.75" hidden="false" customHeight="false" outlineLevel="0" collapsed="false">
      <c r="A509" s="3" t="n">
        <v>508</v>
      </c>
      <c r="B509" s="3" t="s">
        <v>714</v>
      </c>
      <c r="C509" s="3" t="s">
        <v>105</v>
      </c>
      <c r="D509" s="3" t="s">
        <v>55</v>
      </c>
      <c r="E509" s="3" t="s">
        <v>55</v>
      </c>
      <c r="F509" s="3" t="s">
        <v>635</v>
      </c>
      <c r="G509" s="3" t="s">
        <v>69</v>
      </c>
      <c r="H509" s="3" t="n">
        <v>0.557</v>
      </c>
      <c r="I509" s="13" t="n">
        <f aca="false">IF(G509=E509,1,0)</f>
        <v>0</v>
      </c>
    </row>
    <row r="510" customFormat="false" ht="15.75" hidden="false" customHeight="false" outlineLevel="0" collapsed="false">
      <c r="A510" s="3" t="n">
        <v>509</v>
      </c>
      <c r="B510" s="3" t="s">
        <v>715</v>
      </c>
      <c r="C510" s="3" t="s">
        <v>143</v>
      </c>
      <c r="D510" s="3" t="s">
        <v>288</v>
      </c>
      <c r="E510" s="3" t="s">
        <v>288</v>
      </c>
      <c r="F510" s="3" t="s">
        <v>633</v>
      </c>
      <c r="G510" s="3" t="s">
        <v>65</v>
      </c>
      <c r="H510" s="3" t="n">
        <v>0.555</v>
      </c>
      <c r="I510" s="13" t="n">
        <f aca="false">IF(G510=E510,1,0)</f>
        <v>0</v>
      </c>
    </row>
    <row r="511" customFormat="false" ht="15.75" hidden="false" customHeight="false" outlineLevel="0" collapsed="false">
      <c r="A511" s="3" t="n">
        <v>510</v>
      </c>
      <c r="B511" s="3" t="s">
        <v>716</v>
      </c>
      <c r="C511" s="3" t="s">
        <v>143</v>
      </c>
      <c r="D511" s="3" t="s">
        <v>589</v>
      </c>
      <c r="E511" s="3" t="s">
        <v>589</v>
      </c>
      <c r="F511" s="3" t="s">
        <v>635</v>
      </c>
      <c r="G511" s="3" t="s">
        <v>79</v>
      </c>
      <c r="H511" s="3" t="n">
        <v>0.554</v>
      </c>
      <c r="I511" s="13" t="n">
        <f aca="false">IF(G511=E511,1,0)</f>
        <v>0</v>
      </c>
    </row>
    <row r="512" customFormat="false" ht="15.75" hidden="false" customHeight="false" outlineLevel="0" collapsed="false">
      <c r="A512" s="3" t="n">
        <v>511</v>
      </c>
      <c r="B512" s="3" t="s">
        <v>717</v>
      </c>
      <c r="C512" s="3" t="s">
        <v>105</v>
      </c>
      <c r="D512" s="3" t="s">
        <v>77</v>
      </c>
      <c r="E512" s="3" t="s">
        <v>77</v>
      </c>
      <c r="F512" s="3" t="s">
        <v>638</v>
      </c>
      <c r="G512" s="3" t="s">
        <v>61</v>
      </c>
      <c r="H512" s="3" t="n">
        <v>0.552</v>
      </c>
      <c r="I512" s="13" t="n">
        <f aca="false">IF(G512=E512,1,0)</f>
        <v>0</v>
      </c>
    </row>
    <row r="513" customFormat="false" ht="15.75" hidden="false" customHeight="false" outlineLevel="0" collapsed="false">
      <c r="A513" s="3" t="n">
        <v>512</v>
      </c>
      <c r="B513" s="3" t="s">
        <v>718</v>
      </c>
      <c r="C513" s="3" t="s">
        <v>143</v>
      </c>
      <c r="D513" s="3" t="s">
        <v>589</v>
      </c>
      <c r="E513" s="3" t="s">
        <v>589</v>
      </c>
      <c r="F513" s="3" t="s">
        <v>633</v>
      </c>
      <c r="G513" s="3" t="s">
        <v>65</v>
      </c>
      <c r="H513" s="3" t="n">
        <v>0.55</v>
      </c>
      <c r="I513" s="13" t="n">
        <f aca="false">IF(G513=E513,1,0)</f>
        <v>0</v>
      </c>
    </row>
    <row r="514" customFormat="false" ht="15.75" hidden="false" customHeight="false" outlineLevel="0" collapsed="false">
      <c r="A514" s="3" t="n">
        <v>513</v>
      </c>
      <c r="B514" s="3" t="s">
        <v>719</v>
      </c>
      <c r="C514" s="3" t="s">
        <v>143</v>
      </c>
      <c r="D514" s="3" t="s">
        <v>351</v>
      </c>
      <c r="E514" s="3" t="s">
        <v>351</v>
      </c>
      <c r="F514" s="3" t="s">
        <v>643</v>
      </c>
      <c r="G514" s="3" t="s">
        <v>63</v>
      </c>
      <c r="H514" s="3" t="n">
        <v>0.55</v>
      </c>
      <c r="I514" s="13" t="n">
        <f aca="false">IF(G514=E514,1,0)</f>
        <v>0</v>
      </c>
    </row>
    <row r="515" customFormat="false" ht="15.75" hidden="false" customHeight="false" outlineLevel="0" collapsed="false">
      <c r="A515" s="3" t="n">
        <v>514</v>
      </c>
      <c r="B515" s="3" t="s">
        <v>720</v>
      </c>
      <c r="C515" s="3" t="s">
        <v>105</v>
      </c>
      <c r="D515" s="3" t="s">
        <v>61</v>
      </c>
      <c r="E515" s="3" t="s">
        <v>61</v>
      </c>
      <c r="F515" s="3" t="s">
        <v>635</v>
      </c>
      <c r="G515" s="3" t="s">
        <v>67</v>
      </c>
      <c r="H515" s="3" t="n">
        <v>0.546</v>
      </c>
      <c r="I515" s="13" t="n">
        <f aca="false">IF(G515=E515,1,0)</f>
        <v>0</v>
      </c>
    </row>
    <row r="516" customFormat="false" ht="15.75" hidden="false" customHeight="false" outlineLevel="0" collapsed="false">
      <c r="A516" s="3" t="n">
        <v>515</v>
      </c>
      <c r="B516" s="3" t="s">
        <v>721</v>
      </c>
      <c r="C516" s="3" t="s">
        <v>105</v>
      </c>
      <c r="D516" s="3" t="s">
        <v>61</v>
      </c>
      <c r="E516" s="3" t="s">
        <v>61</v>
      </c>
      <c r="F516" s="3" t="s">
        <v>635</v>
      </c>
      <c r="G516" s="3" t="s">
        <v>79</v>
      </c>
      <c r="H516" s="3" t="n">
        <v>0.546</v>
      </c>
      <c r="I516" s="13" t="n">
        <f aca="false">IF(G516=E516,1,0)</f>
        <v>0</v>
      </c>
    </row>
    <row r="517" customFormat="false" ht="15.75" hidden="false" customHeight="false" outlineLevel="0" collapsed="false">
      <c r="A517" s="3" t="n">
        <v>516</v>
      </c>
      <c r="B517" s="3" t="s">
        <v>722</v>
      </c>
      <c r="C517" s="3" t="s">
        <v>105</v>
      </c>
      <c r="D517" s="3" t="s">
        <v>61</v>
      </c>
      <c r="E517" s="3" t="s">
        <v>61</v>
      </c>
      <c r="F517" s="3" t="s">
        <v>638</v>
      </c>
      <c r="G517" s="3" t="s">
        <v>61</v>
      </c>
      <c r="H517" s="3" t="n">
        <v>0.541</v>
      </c>
      <c r="I517" s="13" t="n">
        <f aca="false">IF(G517=E517,1,0)</f>
        <v>1</v>
      </c>
    </row>
    <row r="518" customFormat="false" ht="15.75" hidden="false" customHeight="false" outlineLevel="0" collapsed="false">
      <c r="A518" s="3" t="n">
        <v>517</v>
      </c>
      <c r="B518" s="3" t="s">
        <v>723</v>
      </c>
      <c r="C518" s="3" t="s">
        <v>105</v>
      </c>
      <c r="D518" s="3" t="s">
        <v>61</v>
      </c>
      <c r="E518" s="3" t="s">
        <v>61</v>
      </c>
      <c r="F518" s="3" t="s">
        <v>635</v>
      </c>
      <c r="G518" s="3" t="s">
        <v>69</v>
      </c>
      <c r="H518" s="3" t="n">
        <v>0.538</v>
      </c>
      <c r="I518" s="13" t="n">
        <f aca="false">IF(G518=E518,1,0)</f>
        <v>0</v>
      </c>
    </row>
    <row r="519" customFormat="false" ht="15.75" hidden="false" customHeight="false" outlineLevel="0" collapsed="false">
      <c r="A519" s="3" t="n">
        <v>518</v>
      </c>
      <c r="B519" s="3" t="s">
        <v>724</v>
      </c>
      <c r="C519" s="3" t="s">
        <v>143</v>
      </c>
      <c r="D519" s="3" t="s">
        <v>589</v>
      </c>
      <c r="E519" s="3" t="s">
        <v>589</v>
      </c>
      <c r="F519" s="3" t="s">
        <v>635</v>
      </c>
      <c r="G519" s="3" t="s">
        <v>79</v>
      </c>
      <c r="H519" s="3" t="n">
        <v>0.538</v>
      </c>
      <c r="I519" s="13" t="n">
        <f aca="false">IF(G519=E519,1,0)</f>
        <v>0</v>
      </c>
    </row>
    <row r="520" customFormat="false" ht="15.75" hidden="false" customHeight="false" outlineLevel="0" collapsed="false">
      <c r="A520" s="3" t="n">
        <v>519</v>
      </c>
      <c r="B520" s="3" t="s">
        <v>725</v>
      </c>
      <c r="C520" s="3" t="s">
        <v>133</v>
      </c>
      <c r="D520" s="3" t="s">
        <v>65</v>
      </c>
      <c r="E520" s="3" t="s">
        <v>65</v>
      </c>
      <c r="F520" s="3" t="s">
        <v>643</v>
      </c>
      <c r="G520" s="3" t="s">
        <v>63</v>
      </c>
      <c r="H520" s="3" t="n">
        <v>0.536</v>
      </c>
      <c r="I520" s="13" t="n">
        <f aca="false">IF(G520=E520,1,0)</f>
        <v>0</v>
      </c>
    </row>
    <row r="521" customFormat="false" ht="15.75" hidden="false" customHeight="false" outlineLevel="0" collapsed="false">
      <c r="A521" s="3" t="n">
        <v>520</v>
      </c>
      <c r="B521" s="3" t="s">
        <v>726</v>
      </c>
      <c r="C521" s="3" t="s">
        <v>105</v>
      </c>
      <c r="D521" s="3" t="s">
        <v>61</v>
      </c>
      <c r="E521" s="3" t="s">
        <v>61</v>
      </c>
      <c r="F521" s="3" t="s">
        <v>643</v>
      </c>
      <c r="G521" s="3" t="s">
        <v>83</v>
      </c>
      <c r="H521" s="3" t="n">
        <v>0.535</v>
      </c>
      <c r="I521" s="13" t="n">
        <f aca="false">IF(G521=E521,1,0)</f>
        <v>0</v>
      </c>
    </row>
    <row r="522" customFormat="false" ht="15.75" hidden="false" customHeight="false" outlineLevel="0" collapsed="false">
      <c r="A522" s="3" t="n">
        <v>521</v>
      </c>
      <c r="B522" s="3" t="s">
        <v>727</v>
      </c>
      <c r="C522" s="3" t="s">
        <v>105</v>
      </c>
      <c r="D522" s="3" t="s">
        <v>77</v>
      </c>
      <c r="E522" s="3" t="s">
        <v>77</v>
      </c>
      <c r="F522" s="3" t="s">
        <v>633</v>
      </c>
      <c r="G522" s="3" t="s">
        <v>65</v>
      </c>
      <c r="H522" s="3" t="n">
        <v>0.534</v>
      </c>
      <c r="I522" s="13" t="n">
        <f aca="false">IF(G522=E522,1,0)</f>
        <v>0</v>
      </c>
    </row>
    <row r="523" customFormat="false" ht="15.75" hidden="false" customHeight="false" outlineLevel="0" collapsed="false">
      <c r="A523" s="3" t="n">
        <v>522</v>
      </c>
      <c r="B523" s="3" t="s">
        <v>728</v>
      </c>
      <c r="C523" s="3" t="s">
        <v>105</v>
      </c>
      <c r="D523" s="3" t="s">
        <v>55</v>
      </c>
      <c r="E523" s="3" t="s">
        <v>55</v>
      </c>
      <c r="F523" s="3" t="s">
        <v>638</v>
      </c>
      <c r="G523" s="3" t="s">
        <v>61</v>
      </c>
      <c r="H523" s="3" t="n">
        <v>0.533</v>
      </c>
      <c r="I523" s="13" t="n">
        <f aca="false">IF(G523=E523,1,0)</f>
        <v>0</v>
      </c>
    </row>
    <row r="524" customFormat="false" ht="15.75" hidden="false" customHeight="false" outlineLevel="0" collapsed="false">
      <c r="A524" s="3" t="n">
        <v>523</v>
      </c>
      <c r="B524" s="3" t="s">
        <v>729</v>
      </c>
      <c r="C524" s="3" t="s">
        <v>105</v>
      </c>
      <c r="D524" s="3" t="s">
        <v>61</v>
      </c>
      <c r="E524" s="3" t="s">
        <v>61</v>
      </c>
      <c r="F524" s="3" t="s">
        <v>643</v>
      </c>
      <c r="G524" s="3" t="s">
        <v>83</v>
      </c>
      <c r="H524" s="3" t="n">
        <v>0.532</v>
      </c>
      <c r="I524" s="13" t="n">
        <f aca="false">IF(G524=E524,1,0)</f>
        <v>0</v>
      </c>
    </row>
    <row r="525" customFormat="false" ht="15.75" hidden="false" customHeight="false" outlineLevel="0" collapsed="false">
      <c r="A525" s="3" t="n">
        <v>524</v>
      </c>
      <c r="B525" s="3" t="s">
        <v>730</v>
      </c>
      <c r="C525" s="3" t="s">
        <v>105</v>
      </c>
      <c r="D525" s="3" t="s">
        <v>77</v>
      </c>
      <c r="E525" s="3" t="s">
        <v>77</v>
      </c>
      <c r="F525" s="3" t="s">
        <v>638</v>
      </c>
      <c r="G525" s="3" t="s">
        <v>77</v>
      </c>
      <c r="H525" s="3" t="n">
        <v>0.531</v>
      </c>
      <c r="I525" s="13" t="n">
        <f aca="false">IF(G525=E525,1,0)</f>
        <v>1</v>
      </c>
    </row>
    <row r="526" customFormat="false" ht="15.75" hidden="false" customHeight="false" outlineLevel="0" collapsed="false">
      <c r="A526" s="3" t="n">
        <v>525</v>
      </c>
      <c r="B526" s="3" t="s">
        <v>731</v>
      </c>
      <c r="C526" s="3" t="s">
        <v>105</v>
      </c>
      <c r="D526" s="3" t="s">
        <v>61</v>
      </c>
      <c r="E526" s="3" t="s">
        <v>61</v>
      </c>
      <c r="F526" s="3" t="s">
        <v>635</v>
      </c>
      <c r="G526" s="3" t="s">
        <v>79</v>
      </c>
      <c r="H526" s="3" t="n">
        <v>0.531</v>
      </c>
      <c r="I526" s="13" t="n">
        <f aca="false">IF(G526=E526,1,0)</f>
        <v>0</v>
      </c>
    </row>
    <row r="527" customFormat="false" ht="15.75" hidden="false" customHeight="false" outlineLevel="0" collapsed="false">
      <c r="A527" s="3" t="n">
        <v>526</v>
      </c>
      <c r="B527" s="3" t="s">
        <v>732</v>
      </c>
      <c r="C527" s="3" t="s">
        <v>105</v>
      </c>
      <c r="D527" s="3" t="s">
        <v>61</v>
      </c>
      <c r="E527" s="3" t="s">
        <v>61</v>
      </c>
      <c r="F527" s="3" t="s">
        <v>635</v>
      </c>
      <c r="G527" s="3" t="s">
        <v>69</v>
      </c>
      <c r="H527" s="3" t="n">
        <v>0.525</v>
      </c>
      <c r="I527" s="13" t="n">
        <f aca="false">IF(G527=E527,1,0)</f>
        <v>0</v>
      </c>
    </row>
    <row r="528" customFormat="false" ht="15.75" hidden="false" customHeight="false" outlineLevel="0" collapsed="false">
      <c r="A528" s="3" t="n">
        <v>527</v>
      </c>
      <c r="B528" s="3" t="s">
        <v>733</v>
      </c>
      <c r="C528" s="3" t="s">
        <v>105</v>
      </c>
      <c r="D528" s="3" t="s">
        <v>61</v>
      </c>
      <c r="E528" s="3" t="s">
        <v>61</v>
      </c>
      <c r="F528" s="3" t="s">
        <v>638</v>
      </c>
      <c r="G528" s="3" t="s">
        <v>77</v>
      </c>
      <c r="H528" s="3" t="n">
        <v>0.524</v>
      </c>
      <c r="I528" s="13" t="n">
        <f aca="false">IF(G528=E528,1,0)</f>
        <v>0</v>
      </c>
    </row>
    <row r="529" customFormat="false" ht="15.75" hidden="false" customHeight="false" outlineLevel="0" collapsed="false">
      <c r="A529" s="3" t="n">
        <v>528</v>
      </c>
      <c r="B529" s="3" t="s">
        <v>734</v>
      </c>
      <c r="C529" s="3" t="s">
        <v>105</v>
      </c>
      <c r="D529" s="3" t="s">
        <v>61</v>
      </c>
      <c r="E529" s="3" t="s">
        <v>61</v>
      </c>
      <c r="F529" s="3" t="s">
        <v>638</v>
      </c>
      <c r="G529" s="3" t="s">
        <v>61</v>
      </c>
      <c r="H529" s="3" t="n">
        <v>0.523</v>
      </c>
      <c r="I529" s="13" t="n">
        <f aca="false">IF(G529=E529,1,0)</f>
        <v>1</v>
      </c>
    </row>
    <row r="530" customFormat="false" ht="15.75" hidden="false" customHeight="false" outlineLevel="0" collapsed="false">
      <c r="A530" s="3" t="n">
        <v>529</v>
      </c>
      <c r="B530" s="3" t="s">
        <v>735</v>
      </c>
      <c r="C530" s="3" t="s">
        <v>105</v>
      </c>
      <c r="D530" s="3" t="s">
        <v>61</v>
      </c>
      <c r="E530" s="3" t="s">
        <v>61</v>
      </c>
      <c r="F530" s="3" t="s">
        <v>635</v>
      </c>
      <c r="G530" s="3" t="s">
        <v>79</v>
      </c>
      <c r="H530" s="3" t="n">
        <v>0.523</v>
      </c>
      <c r="I530" s="13" t="n">
        <f aca="false">IF(G530=E530,1,0)</f>
        <v>0</v>
      </c>
    </row>
    <row r="531" customFormat="false" ht="15.75" hidden="false" customHeight="false" outlineLevel="0" collapsed="false">
      <c r="A531" s="3" t="n">
        <v>530</v>
      </c>
      <c r="B531" s="3" t="s">
        <v>736</v>
      </c>
      <c r="C531" s="3" t="s">
        <v>105</v>
      </c>
      <c r="D531" s="3" t="s">
        <v>61</v>
      </c>
      <c r="E531" s="3" t="s">
        <v>61</v>
      </c>
      <c r="F531" s="3" t="s">
        <v>635</v>
      </c>
      <c r="G531" s="3" t="s">
        <v>79</v>
      </c>
      <c r="H531" s="3" t="n">
        <v>0.523</v>
      </c>
      <c r="I531" s="13" t="n">
        <f aca="false">IF(G531=E531,1,0)</f>
        <v>0</v>
      </c>
    </row>
    <row r="532" customFormat="false" ht="15.75" hidden="false" customHeight="false" outlineLevel="0" collapsed="false">
      <c r="A532" s="3" t="n">
        <v>531</v>
      </c>
      <c r="B532" s="3" t="s">
        <v>737</v>
      </c>
      <c r="C532" s="3" t="s">
        <v>150</v>
      </c>
      <c r="D532" s="3" t="s">
        <v>254</v>
      </c>
      <c r="E532" s="3" t="s">
        <v>85</v>
      </c>
      <c r="F532" s="3" t="s">
        <v>643</v>
      </c>
      <c r="G532" s="3" t="s">
        <v>63</v>
      </c>
      <c r="H532" s="3" t="n">
        <v>0.523</v>
      </c>
      <c r="I532" s="13" t="n">
        <f aca="false">IF(G532=E532,1,0)</f>
        <v>0</v>
      </c>
    </row>
    <row r="533" customFormat="false" ht="15.75" hidden="false" customHeight="false" outlineLevel="0" collapsed="false">
      <c r="A533" s="3" t="n">
        <v>532</v>
      </c>
      <c r="B533" s="3" t="s">
        <v>738</v>
      </c>
      <c r="C533" s="3" t="s">
        <v>143</v>
      </c>
      <c r="D533" s="3" t="s">
        <v>198</v>
      </c>
      <c r="E533" s="3" t="s">
        <v>67</v>
      </c>
      <c r="F533" s="3" t="s">
        <v>638</v>
      </c>
      <c r="G533" s="3" t="s">
        <v>61</v>
      </c>
      <c r="H533" s="3" t="n">
        <v>0.522</v>
      </c>
      <c r="I533" s="13" t="n">
        <f aca="false">IF(G533=E533,1,0)</f>
        <v>0</v>
      </c>
    </row>
    <row r="534" customFormat="false" ht="15.75" hidden="false" customHeight="false" outlineLevel="0" collapsed="false">
      <c r="A534" s="3" t="n">
        <v>533</v>
      </c>
      <c r="B534" s="3" t="s">
        <v>739</v>
      </c>
      <c r="C534" s="3" t="s">
        <v>105</v>
      </c>
      <c r="D534" s="3" t="s">
        <v>61</v>
      </c>
      <c r="E534" s="3" t="s">
        <v>61</v>
      </c>
      <c r="F534" s="3" t="s">
        <v>633</v>
      </c>
      <c r="G534" s="3" t="s">
        <v>65</v>
      </c>
      <c r="H534" s="3" t="n">
        <v>0.522</v>
      </c>
      <c r="I534" s="13" t="n">
        <f aca="false">IF(G534=E534,1,0)</f>
        <v>0</v>
      </c>
    </row>
    <row r="535" customFormat="false" ht="15.75" hidden="false" customHeight="false" outlineLevel="0" collapsed="false">
      <c r="A535" s="3" t="n">
        <v>534</v>
      </c>
      <c r="B535" s="3" t="s">
        <v>740</v>
      </c>
      <c r="C535" s="3" t="s">
        <v>105</v>
      </c>
      <c r="D535" s="3" t="s">
        <v>61</v>
      </c>
      <c r="E535" s="3" t="s">
        <v>61</v>
      </c>
      <c r="F535" s="3" t="s">
        <v>638</v>
      </c>
      <c r="G535" s="3" t="s">
        <v>61</v>
      </c>
      <c r="H535" s="3" t="n">
        <v>0.52</v>
      </c>
      <c r="I535" s="13" t="n">
        <f aca="false">IF(G535=E535,1,0)</f>
        <v>1</v>
      </c>
    </row>
    <row r="536" customFormat="false" ht="15.75" hidden="false" customHeight="false" outlineLevel="0" collapsed="false">
      <c r="A536" s="3" t="n">
        <v>535</v>
      </c>
      <c r="B536" s="3" t="s">
        <v>741</v>
      </c>
      <c r="C536" s="3" t="s">
        <v>143</v>
      </c>
      <c r="D536" s="3" t="s">
        <v>198</v>
      </c>
      <c r="E536" s="3" t="s">
        <v>67</v>
      </c>
      <c r="F536" s="3" t="s">
        <v>635</v>
      </c>
      <c r="G536" s="3" t="s">
        <v>79</v>
      </c>
      <c r="H536" s="3" t="n">
        <v>0.52</v>
      </c>
      <c r="I536" s="13" t="n">
        <f aca="false">IF(G536=E536,1,0)</f>
        <v>0</v>
      </c>
    </row>
    <row r="537" customFormat="false" ht="15.75" hidden="false" customHeight="false" outlineLevel="0" collapsed="false">
      <c r="A537" s="3" t="n">
        <v>536</v>
      </c>
      <c r="B537" s="3" t="s">
        <v>742</v>
      </c>
      <c r="C537" s="3" t="s">
        <v>105</v>
      </c>
      <c r="D537" s="3" t="s">
        <v>61</v>
      </c>
      <c r="E537" s="3" t="s">
        <v>61</v>
      </c>
      <c r="F537" s="3" t="s">
        <v>635</v>
      </c>
      <c r="G537" s="3" t="s">
        <v>67</v>
      </c>
      <c r="H537" s="3" t="n">
        <v>0.52</v>
      </c>
      <c r="I537" s="13" t="n">
        <f aca="false">IF(G537=E537,1,0)</f>
        <v>0</v>
      </c>
    </row>
    <row r="538" customFormat="false" ht="15.75" hidden="false" customHeight="false" outlineLevel="0" collapsed="false">
      <c r="A538" s="3" t="n">
        <v>537</v>
      </c>
      <c r="B538" s="3" t="s">
        <v>743</v>
      </c>
      <c r="C538" s="3" t="s">
        <v>105</v>
      </c>
      <c r="D538" s="3" t="s">
        <v>61</v>
      </c>
      <c r="E538" s="3" t="s">
        <v>61</v>
      </c>
      <c r="F538" s="3" t="s">
        <v>638</v>
      </c>
      <c r="G538" s="3" t="s">
        <v>61</v>
      </c>
      <c r="H538" s="3" t="n">
        <v>0.517</v>
      </c>
      <c r="I538" s="13" t="n">
        <f aca="false">IF(G538=E538,1,0)</f>
        <v>1</v>
      </c>
    </row>
    <row r="539" customFormat="false" ht="15.75" hidden="false" customHeight="false" outlineLevel="0" collapsed="false">
      <c r="A539" s="3" t="n">
        <v>538</v>
      </c>
      <c r="B539" s="3" t="s">
        <v>744</v>
      </c>
      <c r="C539" s="3" t="s">
        <v>143</v>
      </c>
      <c r="D539" s="3" t="s">
        <v>288</v>
      </c>
      <c r="E539" s="3" t="s">
        <v>288</v>
      </c>
      <c r="F539" s="3" t="s">
        <v>643</v>
      </c>
      <c r="G539" s="3" t="s">
        <v>75</v>
      </c>
      <c r="H539" s="3" t="n">
        <v>0.517</v>
      </c>
      <c r="I539" s="13" t="n">
        <f aca="false">IF(G539=E539,1,0)</f>
        <v>0</v>
      </c>
    </row>
    <row r="540" customFormat="false" ht="15.75" hidden="false" customHeight="false" outlineLevel="0" collapsed="false">
      <c r="A540" s="3" t="n">
        <v>539</v>
      </c>
      <c r="B540" s="3" t="s">
        <v>745</v>
      </c>
      <c r="C540" s="3" t="s">
        <v>143</v>
      </c>
      <c r="D540" s="3" t="s">
        <v>288</v>
      </c>
      <c r="E540" s="3" t="s">
        <v>288</v>
      </c>
      <c r="F540" s="3" t="s">
        <v>635</v>
      </c>
      <c r="G540" s="3" t="s">
        <v>67</v>
      </c>
      <c r="H540" s="3" t="n">
        <v>0.516</v>
      </c>
      <c r="I540" s="13" t="n">
        <f aca="false">IF(G540=E540,1,0)</f>
        <v>0</v>
      </c>
    </row>
    <row r="541" customFormat="false" ht="15.75" hidden="false" customHeight="false" outlineLevel="0" collapsed="false">
      <c r="A541" s="3" t="n">
        <v>540</v>
      </c>
      <c r="B541" s="3" t="s">
        <v>746</v>
      </c>
      <c r="C541" s="3" t="s">
        <v>143</v>
      </c>
      <c r="D541" s="3" t="s">
        <v>288</v>
      </c>
      <c r="E541" s="3" t="s">
        <v>288</v>
      </c>
      <c r="F541" s="3" t="s">
        <v>635</v>
      </c>
      <c r="G541" s="3" t="s">
        <v>67</v>
      </c>
      <c r="H541" s="3" t="n">
        <v>0.516</v>
      </c>
      <c r="I541" s="13" t="n">
        <f aca="false">IF(G541=E541,1,0)</f>
        <v>0</v>
      </c>
    </row>
    <row r="542" customFormat="false" ht="15.75" hidden="false" customHeight="false" outlineLevel="0" collapsed="false">
      <c r="A542" s="3" t="n">
        <v>541</v>
      </c>
      <c r="B542" s="3" t="s">
        <v>747</v>
      </c>
      <c r="C542" s="3" t="s">
        <v>105</v>
      </c>
      <c r="D542" s="3" t="s">
        <v>61</v>
      </c>
      <c r="E542" s="3" t="s">
        <v>61</v>
      </c>
      <c r="F542" s="3" t="s">
        <v>635</v>
      </c>
      <c r="G542" s="3" t="s">
        <v>69</v>
      </c>
      <c r="H542" s="3" t="n">
        <v>0.513</v>
      </c>
      <c r="I542" s="13" t="n">
        <f aca="false">IF(G542=E542,1,0)</f>
        <v>0</v>
      </c>
    </row>
    <row r="543" customFormat="false" ht="15.75" hidden="false" customHeight="false" outlineLevel="0" collapsed="false">
      <c r="A543" s="3" t="n">
        <v>542</v>
      </c>
      <c r="B543" s="3" t="s">
        <v>748</v>
      </c>
      <c r="C543" s="3" t="s">
        <v>105</v>
      </c>
      <c r="D543" s="3" t="s">
        <v>61</v>
      </c>
      <c r="E543" s="3" t="s">
        <v>61</v>
      </c>
      <c r="F543" s="3" t="s">
        <v>633</v>
      </c>
      <c r="G543" s="3" t="s">
        <v>65</v>
      </c>
      <c r="H543" s="3" t="n">
        <v>0.513</v>
      </c>
      <c r="I543" s="13" t="n">
        <f aca="false">IF(G543=E543,1,0)</f>
        <v>0</v>
      </c>
    </row>
    <row r="544" customFormat="false" ht="15.75" hidden="false" customHeight="false" outlineLevel="0" collapsed="false">
      <c r="A544" s="3" t="n">
        <v>543</v>
      </c>
      <c r="B544" s="3" t="s">
        <v>749</v>
      </c>
      <c r="C544" s="3" t="s">
        <v>143</v>
      </c>
      <c r="D544" s="3" t="s">
        <v>198</v>
      </c>
      <c r="E544" s="3" t="s">
        <v>67</v>
      </c>
      <c r="F544" s="3" t="s">
        <v>635</v>
      </c>
      <c r="G544" s="3" t="s">
        <v>79</v>
      </c>
      <c r="H544" s="3" t="n">
        <v>0.511</v>
      </c>
      <c r="I544" s="13" t="n">
        <f aca="false">IF(G544=E544,1,0)</f>
        <v>0</v>
      </c>
    </row>
    <row r="545" customFormat="false" ht="15.75" hidden="false" customHeight="false" outlineLevel="0" collapsed="false">
      <c r="A545" s="3" t="n">
        <v>544</v>
      </c>
      <c r="B545" s="3" t="s">
        <v>750</v>
      </c>
      <c r="C545" s="3" t="s">
        <v>143</v>
      </c>
      <c r="D545" s="3" t="s">
        <v>288</v>
      </c>
      <c r="E545" s="3" t="s">
        <v>288</v>
      </c>
      <c r="F545" s="3" t="s">
        <v>633</v>
      </c>
      <c r="G545" s="3" t="s">
        <v>65</v>
      </c>
      <c r="H545" s="3" t="n">
        <v>0.51</v>
      </c>
      <c r="I545" s="13" t="n">
        <f aca="false">IF(G545=E545,1,0)</f>
        <v>0</v>
      </c>
    </row>
    <row r="546" customFormat="false" ht="15.75" hidden="false" customHeight="false" outlineLevel="0" collapsed="false">
      <c r="A546" s="3" t="n">
        <v>545</v>
      </c>
      <c r="B546" s="3" t="s">
        <v>751</v>
      </c>
      <c r="C546" s="3" t="s">
        <v>105</v>
      </c>
      <c r="D546" s="3" t="s">
        <v>61</v>
      </c>
      <c r="E546" s="3" t="s">
        <v>61</v>
      </c>
      <c r="F546" s="3" t="s">
        <v>638</v>
      </c>
      <c r="G546" s="3" t="s">
        <v>61</v>
      </c>
      <c r="H546" s="3" t="n">
        <v>0.51</v>
      </c>
      <c r="I546" s="13" t="n">
        <f aca="false">IF(G546=E546,1,0)</f>
        <v>1</v>
      </c>
    </row>
    <row r="547" customFormat="false" ht="15.75" hidden="false" customHeight="false" outlineLevel="0" collapsed="false">
      <c r="A547" s="3" t="n">
        <v>546</v>
      </c>
      <c r="B547" s="3" t="s">
        <v>752</v>
      </c>
      <c r="C547" s="3" t="s">
        <v>105</v>
      </c>
      <c r="D547" s="3" t="s">
        <v>61</v>
      </c>
      <c r="E547" s="3" t="s">
        <v>61</v>
      </c>
      <c r="F547" s="3" t="s">
        <v>638</v>
      </c>
      <c r="G547" s="3" t="s">
        <v>77</v>
      </c>
      <c r="H547" s="3" t="n">
        <v>0.508</v>
      </c>
      <c r="I547" s="13" t="n">
        <f aca="false">IF(G547=E547,1,0)</f>
        <v>0</v>
      </c>
    </row>
    <row r="548" customFormat="false" ht="15.75" hidden="false" customHeight="false" outlineLevel="0" collapsed="false">
      <c r="A548" s="3" t="n">
        <v>547</v>
      </c>
      <c r="B548" s="3" t="s">
        <v>753</v>
      </c>
      <c r="C548" s="3" t="s">
        <v>105</v>
      </c>
      <c r="D548" s="3" t="s">
        <v>61</v>
      </c>
      <c r="E548" s="3" t="s">
        <v>61</v>
      </c>
      <c r="F548" s="3" t="s">
        <v>635</v>
      </c>
      <c r="G548" s="3" t="s">
        <v>79</v>
      </c>
      <c r="H548" s="3" t="n">
        <v>0.505</v>
      </c>
      <c r="I548" s="13" t="n">
        <f aca="false">IF(G548=E548,1,0)</f>
        <v>0</v>
      </c>
    </row>
    <row r="549" customFormat="false" ht="15.75" hidden="false" customHeight="false" outlineLevel="0" collapsed="false">
      <c r="A549" s="3" t="n">
        <v>548</v>
      </c>
      <c r="B549" s="3" t="s">
        <v>754</v>
      </c>
      <c r="C549" s="3" t="s">
        <v>105</v>
      </c>
      <c r="D549" s="3" t="s">
        <v>77</v>
      </c>
      <c r="E549" s="3" t="s">
        <v>77</v>
      </c>
      <c r="F549" s="3" t="s">
        <v>635</v>
      </c>
      <c r="G549" s="3" t="s">
        <v>79</v>
      </c>
      <c r="H549" s="3" t="n">
        <v>0.505</v>
      </c>
      <c r="I549" s="13" t="n">
        <f aca="false">IF(G549=E549,1,0)</f>
        <v>0</v>
      </c>
    </row>
    <row r="550" customFormat="false" ht="15.75" hidden="false" customHeight="false" outlineLevel="0" collapsed="false">
      <c r="A550" s="3" t="n">
        <v>549</v>
      </c>
      <c r="B550" s="3" t="s">
        <v>755</v>
      </c>
      <c r="C550" s="3" t="s">
        <v>150</v>
      </c>
      <c r="D550" s="3" t="s">
        <v>75</v>
      </c>
      <c r="E550" s="3" t="s">
        <v>75</v>
      </c>
      <c r="F550" s="3" t="s">
        <v>635</v>
      </c>
      <c r="G550" s="3" t="s">
        <v>79</v>
      </c>
      <c r="H550" s="3" t="n">
        <v>0.503</v>
      </c>
      <c r="I550" s="13" t="n">
        <f aca="false">IF(G550=E550,1,0)</f>
        <v>0</v>
      </c>
    </row>
    <row r="551" customFormat="false" ht="15.75" hidden="false" customHeight="false" outlineLevel="0" collapsed="false">
      <c r="A551" s="3" t="n">
        <v>550</v>
      </c>
      <c r="B551" s="3" t="s">
        <v>756</v>
      </c>
      <c r="C551" s="3" t="s">
        <v>105</v>
      </c>
      <c r="D551" s="3" t="s">
        <v>77</v>
      </c>
      <c r="E551" s="3" t="s">
        <v>77</v>
      </c>
      <c r="F551" s="3" t="s">
        <v>638</v>
      </c>
      <c r="G551" s="3" t="s">
        <v>61</v>
      </c>
      <c r="H551" s="3" t="n">
        <v>0.499</v>
      </c>
      <c r="I551" s="13" t="n">
        <f aca="false">IF(G551=E551,1,0)</f>
        <v>0</v>
      </c>
    </row>
    <row r="552" customFormat="false" ht="15.75" hidden="false" customHeight="false" outlineLevel="0" collapsed="false">
      <c r="A552" s="3" t="n">
        <v>551</v>
      </c>
      <c r="B552" s="3" t="s">
        <v>757</v>
      </c>
      <c r="C552" s="3" t="s">
        <v>105</v>
      </c>
      <c r="D552" s="3" t="s">
        <v>61</v>
      </c>
      <c r="E552" s="3" t="s">
        <v>61</v>
      </c>
      <c r="F552" s="3" t="s">
        <v>638</v>
      </c>
      <c r="G552" s="3" t="s">
        <v>61</v>
      </c>
      <c r="H552" s="3" t="n">
        <v>0.495</v>
      </c>
      <c r="I552" s="13" t="n">
        <f aca="false">IF(G552=E552,1,0)</f>
        <v>1</v>
      </c>
    </row>
    <row r="553" customFormat="false" ht="15.75" hidden="false" customHeight="false" outlineLevel="0" collapsed="false">
      <c r="A553" s="3" t="n">
        <v>552</v>
      </c>
      <c r="B553" s="3" t="s">
        <v>758</v>
      </c>
      <c r="C553" s="3" t="s">
        <v>105</v>
      </c>
      <c r="D553" s="3" t="s">
        <v>61</v>
      </c>
      <c r="E553" s="3" t="s">
        <v>61</v>
      </c>
      <c r="F553" s="3" t="s">
        <v>643</v>
      </c>
      <c r="G553" s="3" t="s">
        <v>83</v>
      </c>
      <c r="H553" s="3" t="n">
        <v>0.491</v>
      </c>
      <c r="I553" s="13" t="n">
        <f aca="false">IF(G553=E553,1,0)</f>
        <v>0</v>
      </c>
    </row>
    <row r="554" customFormat="false" ht="15.75" hidden="false" customHeight="false" outlineLevel="0" collapsed="false">
      <c r="A554" s="3" t="n">
        <v>553</v>
      </c>
      <c r="B554" s="3" t="s">
        <v>759</v>
      </c>
      <c r="C554" s="3" t="s">
        <v>105</v>
      </c>
      <c r="D554" s="3" t="s">
        <v>61</v>
      </c>
      <c r="E554" s="3" t="s">
        <v>61</v>
      </c>
      <c r="F554" s="3" t="s">
        <v>638</v>
      </c>
      <c r="G554" s="3" t="s">
        <v>77</v>
      </c>
      <c r="H554" s="3" t="n">
        <v>0.49</v>
      </c>
      <c r="I554" s="13" t="n">
        <f aca="false">IF(G554=E554,1,0)</f>
        <v>0</v>
      </c>
    </row>
    <row r="555" customFormat="false" ht="15.75" hidden="false" customHeight="false" outlineLevel="0" collapsed="false">
      <c r="A555" s="3" t="n">
        <v>554</v>
      </c>
      <c r="B555" s="3" t="s">
        <v>760</v>
      </c>
      <c r="C555" s="3" t="s">
        <v>105</v>
      </c>
      <c r="D555" s="3" t="s">
        <v>61</v>
      </c>
      <c r="E555" s="3" t="s">
        <v>61</v>
      </c>
      <c r="F555" s="3" t="s">
        <v>638</v>
      </c>
      <c r="G555" s="3" t="s">
        <v>61</v>
      </c>
      <c r="H555" s="3" t="n">
        <v>0.488</v>
      </c>
      <c r="I555" s="13" t="n">
        <f aca="false">IF(G555=E555,1,0)</f>
        <v>1</v>
      </c>
    </row>
    <row r="556" customFormat="false" ht="15.75" hidden="false" customHeight="false" outlineLevel="0" collapsed="false">
      <c r="A556" s="3" t="n">
        <v>555</v>
      </c>
      <c r="B556" s="3" t="s">
        <v>761</v>
      </c>
      <c r="C556" s="3" t="s">
        <v>105</v>
      </c>
      <c r="D556" s="3" t="s">
        <v>61</v>
      </c>
      <c r="E556" s="3" t="s">
        <v>61</v>
      </c>
      <c r="F556" s="3" t="s">
        <v>638</v>
      </c>
      <c r="G556" s="3" t="s">
        <v>61</v>
      </c>
      <c r="H556" s="3" t="n">
        <v>0.486</v>
      </c>
      <c r="I556" s="13" t="n">
        <f aca="false">IF(G556=E556,1,0)</f>
        <v>1</v>
      </c>
    </row>
    <row r="557" customFormat="false" ht="15.75" hidden="false" customHeight="false" outlineLevel="0" collapsed="false">
      <c r="A557" s="3" t="n">
        <v>556</v>
      </c>
      <c r="B557" s="3" t="s">
        <v>762</v>
      </c>
      <c r="C557" s="3" t="s">
        <v>143</v>
      </c>
      <c r="D557" s="3" t="s">
        <v>198</v>
      </c>
      <c r="E557" s="3" t="s">
        <v>67</v>
      </c>
      <c r="F557" s="3" t="s">
        <v>638</v>
      </c>
      <c r="G557" s="3" t="s">
        <v>59</v>
      </c>
      <c r="H557" s="3" t="n">
        <v>0.481</v>
      </c>
      <c r="I557" s="13" t="n">
        <f aca="false">IF(G557=E557,1,0)</f>
        <v>0</v>
      </c>
    </row>
    <row r="558" customFormat="false" ht="15.75" hidden="false" customHeight="false" outlineLevel="0" collapsed="false">
      <c r="A558" s="3" t="n">
        <v>557</v>
      </c>
      <c r="B558" s="3" t="s">
        <v>763</v>
      </c>
      <c r="C558" s="3" t="s">
        <v>105</v>
      </c>
      <c r="D558" s="3" t="s">
        <v>77</v>
      </c>
      <c r="E558" s="3" t="s">
        <v>77</v>
      </c>
      <c r="F558" s="3" t="s">
        <v>643</v>
      </c>
      <c r="G558" s="3" t="s">
        <v>83</v>
      </c>
      <c r="H558" s="3" t="n">
        <v>0.48</v>
      </c>
      <c r="I558" s="13" t="n">
        <f aca="false">IF(G558=E558,1,0)</f>
        <v>0</v>
      </c>
    </row>
    <row r="559" customFormat="false" ht="15.75" hidden="false" customHeight="false" outlineLevel="0" collapsed="false">
      <c r="A559" s="3" t="n">
        <v>558</v>
      </c>
      <c r="B559" s="3" t="s">
        <v>764</v>
      </c>
      <c r="C559" s="3" t="s">
        <v>143</v>
      </c>
      <c r="D559" s="3" t="s">
        <v>351</v>
      </c>
      <c r="E559" s="3" t="s">
        <v>351</v>
      </c>
      <c r="F559" s="3" t="s">
        <v>638</v>
      </c>
      <c r="G559" s="3" t="s">
        <v>61</v>
      </c>
      <c r="H559" s="3" t="n">
        <v>0.477</v>
      </c>
      <c r="I559" s="13" t="n">
        <f aca="false">IF(G559=E559,1,0)</f>
        <v>0</v>
      </c>
    </row>
    <row r="560" customFormat="false" ht="15.75" hidden="false" customHeight="false" outlineLevel="0" collapsed="false">
      <c r="A560" s="3" t="n">
        <v>559</v>
      </c>
      <c r="B560" s="3" t="s">
        <v>765</v>
      </c>
      <c r="C560" s="3" t="s">
        <v>105</v>
      </c>
      <c r="D560" s="3" t="s">
        <v>61</v>
      </c>
      <c r="E560" s="3" t="s">
        <v>61</v>
      </c>
      <c r="F560" s="3" t="s">
        <v>638</v>
      </c>
      <c r="G560" s="3" t="s">
        <v>61</v>
      </c>
      <c r="H560" s="3" t="n">
        <v>0.477</v>
      </c>
      <c r="I560" s="13" t="n">
        <f aca="false">IF(G560=E560,1,0)</f>
        <v>1</v>
      </c>
    </row>
    <row r="561" customFormat="false" ht="15.75" hidden="false" customHeight="false" outlineLevel="0" collapsed="false">
      <c r="A561" s="3" t="n">
        <v>560</v>
      </c>
      <c r="B561" s="3" t="s">
        <v>766</v>
      </c>
      <c r="C561" s="3" t="s">
        <v>143</v>
      </c>
      <c r="D561" s="3" t="s">
        <v>589</v>
      </c>
      <c r="E561" s="3" t="s">
        <v>589</v>
      </c>
      <c r="F561" s="3" t="s">
        <v>643</v>
      </c>
      <c r="G561" s="3" t="s">
        <v>63</v>
      </c>
      <c r="H561" s="3" t="n">
        <v>0.476</v>
      </c>
      <c r="I561" s="13" t="n">
        <f aca="false">IF(G561=E561,1,0)</f>
        <v>0</v>
      </c>
    </row>
    <row r="562" customFormat="false" ht="15.75" hidden="false" customHeight="false" outlineLevel="0" collapsed="false">
      <c r="A562" s="3" t="n">
        <v>561</v>
      </c>
      <c r="B562" s="3" t="s">
        <v>767</v>
      </c>
      <c r="C562" s="3" t="s">
        <v>105</v>
      </c>
      <c r="D562" s="3" t="s">
        <v>77</v>
      </c>
      <c r="E562" s="3" t="s">
        <v>77</v>
      </c>
      <c r="F562" s="3" t="s">
        <v>635</v>
      </c>
      <c r="G562" s="3" t="s">
        <v>79</v>
      </c>
      <c r="H562" s="3" t="n">
        <v>0.476</v>
      </c>
      <c r="I562" s="13" t="n">
        <f aca="false">IF(G562=E562,1,0)</f>
        <v>0</v>
      </c>
    </row>
    <row r="563" customFormat="false" ht="15.75" hidden="false" customHeight="false" outlineLevel="0" collapsed="false">
      <c r="A563" s="3" t="n">
        <v>562</v>
      </c>
      <c r="B563" s="3" t="s">
        <v>768</v>
      </c>
      <c r="C563" s="3" t="s">
        <v>143</v>
      </c>
      <c r="D563" s="3" t="s">
        <v>351</v>
      </c>
      <c r="E563" s="3" t="s">
        <v>351</v>
      </c>
      <c r="F563" s="3" t="s">
        <v>482</v>
      </c>
      <c r="G563" s="3" t="s">
        <v>81</v>
      </c>
      <c r="H563" s="3" t="n">
        <v>0.474</v>
      </c>
      <c r="I563" s="13" t="n">
        <f aca="false">IF(G563=E563,1,0)</f>
        <v>0</v>
      </c>
    </row>
    <row r="564" customFormat="false" ht="15.75" hidden="false" customHeight="false" outlineLevel="0" collapsed="false">
      <c r="A564" s="3" t="n">
        <v>563</v>
      </c>
      <c r="B564" s="3" t="s">
        <v>769</v>
      </c>
      <c r="C564" s="3" t="s">
        <v>105</v>
      </c>
      <c r="D564" s="3" t="s">
        <v>61</v>
      </c>
      <c r="E564" s="3" t="s">
        <v>61</v>
      </c>
      <c r="F564" s="3" t="s">
        <v>638</v>
      </c>
      <c r="G564" s="3" t="s">
        <v>61</v>
      </c>
      <c r="H564" s="3" t="n">
        <v>0.473</v>
      </c>
      <c r="I564" s="13" t="n">
        <f aca="false">IF(G564=E564,1,0)</f>
        <v>1</v>
      </c>
    </row>
    <row r="565" customFormat="false" ht="15.75" hidden="false" customHeight="false" outlineLevel="0" collapsed="false">
      <c r="A565" s="3" t="n">
        <v>565</v>
      </c>
      <c r="B565" s="3" t="s">
        <v>770</v>
      </c>
      <c r="C565" s="3" t="s">
        <v>105</v>
      </c>
      <c r="D565" s="3" t="s">
        <v>61</v>
      </c>
      <c r="E565" s="3" t="s">
        <v>61</v>
      </c>
      <c r="F565" s="3" t="s">
        <v>643</v>
      </c>
      <c r="G565" s="3" t="s">
        <v>83</v>
      </c>
      <c r="H565" s="3" t="n">
        <v>0.471</v>
      </c>
      <c r="I565" s="13" t="n">
        <f aca="false">IF(G565=E565,1,0)</f>
        <v>0</v>
      </c>
    </row>
    <row r="566" customFormat="false" ht="15.75" hidden="false" customHeight="false" outlineLevel="0" collapsed="false">
      <c r="A566" s="3" t="n">
        <v>566</v>
      </c>
      <c r="B566" s="3" t="s">
        <v>771</v>
      </c>
      <c r="C566" s="3" t="s">
        <v>105</v>
      </c>
      <c r="D566" s="3" t="s">
        <v>61</v>
      </c>
      <c r="E566" s="3" t="s">
        <v>61</v>
      </c>
      <c r="F566" s="3" t="s">
        <v>635</v>
      </c>
      <c r="G566" s="3" t="s">
        <v>69</v>
      </c>
      <c r="H566" s="3" t="n">
        <v>0.468</v>
      </c>
      <c r="I566" s="13" t="n">
        <f aca="false">IF(G566=E566,1,0)</f>
        <v>0</v>
      </c>
    </row>
    <row r="567" customFormat="false" ht="15.75" hidden="false" customHeight="false" outlineLevel="0" collapsed="false">
      <c r="A567" s="3" t="n">
        <v>567</v>
      </c>
      <c r="B567" s="3" t="s">
        <v>772</v>
      </c>
      <c r="C567" s="3" t="s">
        <v>105</v>
      </c>
      <c r="D567" s="3" t="s">
        <v>61</v>
      </c>
      <c r="E567" s="3" t="s">
        <v>61</v>
      </c>
      <c r="F567" s="3" t="s">
        <v>643</v>
      </c>
      <c r="G567" s="3" t="s">
        <v>75</v>
      </c>
      <c r="H567" s="3" t="n">
        <v>0.467</v>
      </c>
      <c r="I567" s="13" t="n">
        <f aca="false">IF(G567=E567,1,0)</f>
        <v>0</v>
      </c>
    </row>
    <row r="568" customFormat="false" ht="15.75" hidden="false" customHeight="false" outlineLevel="0" collapsed="false">
      <c r="A568" s="3" t="n">
        <v>568</v>
      </c>
      <c r="B568" s="3" t="s">
        <v>773</v>
      </c>
      <c r="C568" s="3" t="s">
        <v>150</v>
      </c>
      <c r="D568" s="3" t="s">
        <v>75</v>
      </c>
      <c r="E568" s="3" t="s">
        <v>75</v>
      </c>
      <c r="F568" s="3" t="s">
        <v>643</v>
      </c>
      <c r="G568" s="3" t="s">
        <v>83</v>
      </c>
      <c r="H568" s="3" t="n">
        <v>0.467</v>
      </c>
      <c r="I568" s="13" t="n">
        <f aca="false">IF(G568=E568,1,0)</f>
        <v>0</v>
      </c>
    </row>
    <row r="569" customFormat="false" ht="15.75" hidden="false" customHeight="false" outlineLevel="0" collapsed="false">
      <c r="A569" s="3" t="n">
        <v>569</v>
      </c>
      <c r="B569" s="3" t="s">
        <v>774</v>
      </c>
      <c r="C569" s="3" t="s">
        <v>105</v>
      </c>
      <c r="D569" s="3" t="s">
        <v>77</v>
      </c>
      <c r="E569" s="3" t="s">
        <v>77</v>
      </c>
      <c r="F569" s="3" t="s">
        <v>635</v>
      </c>
      <c r="G569" s="3" t="s">
        <v>69</v>
      </c>
      <c r="H569" s="3" t="n">
        <v>0.465</v>
      </c>
      <c r="I569" s="13" t="n">
        <f aca="false">IF(G569=E569,1,0)</f>
        <v>0</v>
      </c>
    </row>
    <row r="570" customFormat="false" ht="15.75" hidden="false" customHeight="false" outlineLevel="0" collapsed="false">
      <c r="A570" s="3" t="n">
        <v>570</v>
      </c>
      <c r="B570" s="3" t="s">
        <v>775</v>
      </c>
      <c r="C570" s="3" t="s">
        <v>105</v>
      </c>
      <c r="D570" s="3" t="s">
        <v>61</v>
      </c>
      <c r="E570" s="3" t="s">
        <v>61</v>
      </c>
      <c r="F570" s="3" t="s">
        <v>635</v>
      </c>
      <c r="G570" s="3" t="s">
        <v>79</v>
      </c>
      <c r="H570" s="3" t="n">
        <v>0.463</v>
      </c>
      <c r="I570" s="13" t="n">
        <f aca="false">IF(G570=E570,1,0)</f>
        <v>0</v>
      </c>
    </row>
    <row r="571" customFormat="false" ht="15.75" hidden="false" customHeight="false" outlineLevel="0" collapsed="false">
      <c r="A571" s="3" t="n">
        <v>572</v>
      </c>
      <c r="B571" s="3" t="s">
        <v>776</v>
      </c>
      <c r="C571" s="3" t="s">
        <v>105</v>
      </c>
      <c r="D571" s="3" t="s">
        <v>61</v>
      </c>
      <c r="E571" s="3" t="s">
        <v>61</v>
      </c>
      <c r="F571" s="3" t="s">
        <v>635</v>
      </c>
      <c r="G571" s="3" t="s">
        <v>79</v>
      </c>
      <c r="H571" s="3" t="n">
        <v>0.462</v>
      </c>
      <c r="I571" s="13" t="n">
        <f aca="false">IF(G571=E571,1,0)</f>
        <v>0</v>
      </c>
    </row>
    <row r="572" customFormat="false" ht="15.75" hidden="false" customHeight="false" outlineLevel="0" collapsed="false">
      <c r="A572" s="3" t="n">
        <v>573</v>
      </c>
      <c r="B572" s="3" t="s">
        <v>777</v>
      </c>
      <c r="C572" s="3" t="s">
        <v>105</v>
      </c>
      <c r="D572" s="3" t="s">
        <v>61</v>
      </c>
      <c r="E572" s="3" t="s">
        <v>61</v>
      </c>
      <c r="F572" s="3" t="s">
        <v>638</v>
      </c>
      <c r="G572" s="3" t="s">
        <v>61</v>
      </c>
      <c r="H572" s="3" t="n">
        <v>0.462</v>
      </c>
      <c r="I572" s="13" t="n">
        <f aca="false">IF(G572=E572,1,0)</f>
        <v>1</v>
      </c>
    </row>
    <row r="573" customFormat="false" ht="15.75" hidden="false" customHeight="false" outlineLevel="0" collapsed="false">
      <c r="A573" s="3" t="n">
        <v>574</v>
      </c>
      <c r="B573" s="3" t="s">
        <v>172</v>
      </c>
      <c r="C573" s="3" t="s">
        <v>105</v>
      </c>
      <c r="D573" s="3" t="s">
        <v>61</v>
      </c>
      <c r="E573" s="3" t="s">
        <v>61</v>
      </c>
      <c r="F573" s="3" t="s">
        <v>635</v>
      </c>
      <c r="G573" s="3" t="s">
        <v>67</v>
      </c>
      <c r="H573" s="3" t="n">
        <v>0.459</v>
      </c>
      <c r="I573" s="13" t="n">
        <f aca="false">IF(G573=E573,1,0)</f>
        <v>0</v>
      </c>
    </row>
    <row r="574" customFormat="false" ht="15.75" hidden="false" customHeight="false" outlineLevel="0" collapsed="false">
      <c r="A574" s="3" t="n">
        <v>575</v>
      </c>
      <c r="B574" s="3" t="s">
        <v>778</v>
      </c>
      <c r="C574" s="3" t="s">
        <v>105</v>
      </c>
      <c r="D574" s="3" t="s">
        <v>61</v>
      </c>
      <c r="E574" s="3" t="s">
        <v>61</v>
      </c>
      <c r="F574" s="3" t="s">
        <v>633</v>
      </c>
      <c r="G574" s="3" t="s">
        <v>65</v>
      </c>
      <c r="H574" s="3" t="n">
        <v>0.458</v>
      </c>
      <c r="I574" s="13" t="n">
        <f aca="false">IF(G574=E574,1,0)</f>
        <v>0</v>
      </c>
    </row>
    <row r="575" customFormat="false" ht="15.75" hidden="false" customHeight="false" outlineLevel="0" collapsed="false">
      <c r="A575" s="3" t="n">
        <v>576</v>
      </c>
      <c r="B575" s="3" t="s">
        <v>779</v>
      </c>
      <c r="C575" s="3" t="s">
        <v>105</v>
      </c>
      <c r="D575" s="3" t="s">
        <v>61</v>
      </c>
      <c r="E575" s="3" t="s">
        <v>61</v>
      </c>
      <c r="F575" s="3" t="s">
        <v>635</v>
      </c>
      <c r="G575" s="3" t="s">
        <v>67</v>
      </c>
      <c r="H575" s="3" t="n">
        <v>0.454</v>
      </c>
      <c r="I575" s="13" t="n">
        <f aca="false">IF(G575=E575,1,0)</f>
        <v>0</v>
      </c>
    </row>
    <row r="576" customFormat="false" ht="15.75" hidden="false" customHeight="false" outlineLevel="0" collapsed="false">
      <c r="A576" s="3" t="n">
        <v>577</v>
      </c>
      <c r="B576" s="3" t="s">
        <v>780</v>
      </c>
      <c r="C576" s="3" t="s">
        <v>143</v>
      </c>
      <c r="D576" s="3" t="s">
        <v>198</v>
      </c>
      <c r="E576" s="3" t="s">
        <v>67</v>
      </c>
      <c r="F576" s="3" t="s">
        <v>638</v>
      </c>
      <c r="G576" s="3" t="s">
        <v>77</v>
      </c>
      <c r="H576" s="3" t="n">
        <v>0.452</v>
      </c>
      <c r="I576" s="13" t="n">
        <f aca="false">IF(G576=E576,1,0)</f>
        <v>0</v>
      </c>
    </row>
    <row r="577" customFormat="false" ht="15.75" hidden="false" customHeight="false" outlineLevel="0" collapsed="false">
      <c r="A577" s="3" t="n">
        <v>578</v>
      </c>
      <c r="B577" s="3" t="s">
        <v>781</v>
      </c>
      <c r="C577" s="3" t="s">
        <v>105</v>
      </c>
      <c r="D577" s="3" t="s">
        <v>77</v>
      </c>
      <c r="E577" s="3" t="s">
        <v>77</v>
      </c>
      <c r="F577" s="3" t="s">
        <v>638</v>
      </c>
      <c r="G577" s="3" t="s">
        <v>61</v>
      </c>
      <c r="H577" s="3" t="n">
        <v>0.452</v>
      </c>
      <c r="I577" s="13" t="n">
        <f aca="false">IF(G577=E577,1,0)</f>
        <v>0</v>
      </c>
    </row>
    <row r="578" customFormat="false" ht="15.75" hidden="false" customHeight="false" outlineLevel="0" collapsed="false">
      <c r="A578" s="3" t="n">
        <v>579</v>
      </c>
      <c r="B578" s="3" t="s">
        <v>782</v>
      </c>
      <c r="C578" s="3" t="s">
        <v>105</v>
      </c>
      <c r="D578" s="3" t="s">
        <v>61</v>
      </c>
      <c r="E578" s="3" t="s">
        <v>61</v>
      </c>
      <c r="F578" s="3" t="s">
        <v>643</v>
      </c>
      <c r="G578" s="3" t="s">
        <v>83</v>
      </c>
      <c r="H578" s="3" t="n">
        <v>0.451</v>
      </c>
      <c r="I578" s="13" t="n">
        <f aca="false">IF(G578=E578,1,0)</f>
        <v>0</v>
      </c>
    </row>
    <row r="579" customFormat="false" ht="15.75" hidden="false" customHeight="false" outlineLevel="0" collapsed="false">
      <c r="A579" s="3" t="n">
        <v>580</v>
      </c>
      <c r="B579" s="3" t="s">
        <v>783</v>
      </c>
      <c r="C579" s="3" t="s">
        <v>143</v>
      </c>
      <c r="D579" s="3" t="s">
        <v>288</v>
      </c>
      <c r="E579" s="3" t="s">
        <v>288</v>
      </c>
      <c r="F579" s="3" t="s">
        <v>635</v>
      </c>
      <c r="G579" s="3" t="s">
        <v>79</v>
      </c>
      <c r="H579" s="3" t="n">
        <v>0.447</v>
      </c>
      <c r="I579" s="13" t="n">
        <f aca="false">IF(G579=E579,1,0)</f>
        <v>0</v>
      </c>
    </row>
    <row r="580" customFormat="false" ht="15.75" hidden="false" customHeight="false" outlineLevel="0" collapsed="false">
      <c r="A580" s="3" t="n">
        <v>581</v>
      </c>
      <c r="B580" s="3" t="s">
        <v>784</v>
      </c>
      <c r="C580" s="3" t="s">
        <v>105</v>
      </c>
      <c r="D580" s="3" t="s">
        <v>77</v>
      </c>
      <c r="E580" s="3" t="s">
        <v>77</v>
      </c>
      <c r="F580" s="3" t="s">
        <v>638</v>
      </c>
      <c r="G580" s="3" t="s">
        <v>77</v>
      </c>
      <c r="H580" s="3" t="n">
        <v>0.442</v>
      </c>
      <c r="I580" s="13" t="n">
        <f aca="false">IF(G580=E580,1,0)</f>
        <v>1</v>
      </c>
    </row>
    <row r="581" customFormat="false" ht="15.75" hidden="false" customHeight="false" outlineLevel="0" collapsed="false">
      <c r="A581" s="3" t="n">
        <v>582</v>
      </c>
      <c r="B581" s="3" t="s">
        <v>785</v>
      </c>
      <c r="C581" s="3" t="s">
        <v>150</v>
      </c>
      <c r="D581" s="3" t="s">
        <v>75</v>
      </c>
      <c r="E581" s="3" t="s">
        <v>75</v>
      </c>
      <c r="F581" s="3" t="s">
        <v>633</v>
      </c>
      <c r="G581" s="3" t="s">
        <v>65</v>
      </c>
      <c r="H581" s="3" t="n">
        <v>0.441</v>
      </c>
      <c r="I581" s="13" t="n">
        <f aca="false">IF(G581=E581,1,0)</f>
        <v>0</v>
      </c>
    </row>
    <row r="582" customFormat="false" ht="15.75" hidden="false" customHeight="false" outlineLevel="0" collapsed="false">
      <c r="A582" s="3" t="n">
        <v>583</v>
      </c>
      <c r="B582" s="3" t="s">
        <v>786</v>
      </c>
      <c r="C582" s="3" t="s">
        <v>105</v>
      </c>
      <c r="D582" s="3" t="s">
        <v>77</v>
      </c>
      <c r="E582" s="3" t="s">
        <v>77</v>
      </c>
      <c r="F582" s="3" t="s">
        <v>638</v>
      </c>
      <c r="G582" s="3" t="s">
        <v>77</v>
      </c>
      <c r="H582" s="3" t="n">
        <v>0.44</v>
      </c>
      <c r="I582" s="13" t="n">
        <f aca="false">IF(G582=E582,1,0)</f>
        <v>1</v>
      </c>
    </row>
    <row r="583" customFormat="false" ht="15.75" hidden="false" customHeight="false" outlineLevel="0" collapsed="false">
      <c r="A583" s="3" t="n">
        <v>584</v>
      </c>
      <c r="B583" s="3" t="s">
        <v>787</v>
      </c>
      <c r="C583" s="3" t="s">
        <v>143</v>
      </c>
      <c r="D583" s="3" t="s">
        <v>589</v>
      </c>
      <c r="E583" s="3" t="s">
        <v>589</v>
      </c>
      <c r="F583" s="3" t="s">
        <v>635</v>
      </c>
      <c r="G583" s="3" t="s">
        <v>69</v>
      </c>
      <c r="H583" s="3" t="n">
        <v>0.439</v>
      </c>
      <c r="I583" s="13" t="n">
        <f aca="false">IF(G583=E583,1,0)</f>
        <v>0</v>
      </c>
    </row>
    <row r="584" customFormat="false" ht="15.75" hidden="false" customHeight="false" outlineLevel="0" collapsed="false">
      <c r="A584" s="3" t="n">
        <v>585</v>
      </c>
      <c r="B584" s="3" t="s">
        <v>788</v>
      </c>
      <c r="C584" s="3" t="s">
        <v>105</v>
      </c>
      <c r="D584" s="3" t="s">
        <v>61</v>
      </c>
      <c r="E584" s="3" t="s">
        <v>61</v>
      </c>
      <c r="F584" s="3" t="s">
        <v>638</v>
      </c>
      <c r="G584" s="3" t="s">
        <v>61</v>
      </c>
      <c r="H584" s="3" t="n">
        <v>0.439</v>
      </c>
      <c r="I584" s="13" t="n">
        <f aca="false">IF(G584=E584,1,0)</f>
        <v>1</v>
      </c>
    </row>
    <row r="585" customFormat="false" ht="15.75" hidden="false" customHeight="false" outlineLevel="0" collapsed="false">
      <c r="A585" s="3" t="n">
        <v>586</v>
      </c>
      <c r="B585" s="3" t="s">
        <v>789</v>
      </c>
      <c r="C585" s="3" t="s">
        <v>143</v>
      </c>
      <c r="D585" s="3" t="s">
        <v>198</v>
      </c>
      <c r="E585" s="3" t="s">
        <v>67</v>
      </c>
      <c r="F585" s="3" t="s">
        <v>635</v>
      </c>
      <c r="G585" s="3" t="s">
        <v>67</v>
      </c>
      <c r="H585" s="3" t="n">
        <v>0.439</v>
      </c>
      <c r="I585" s="13" t="n">
        <f aca="false">IF(G585=E585,1,0)</f>
        <v>1</v>
      </c>
    </row>
    <row r="586" customFormat="false" ht="15.75" hidden="false" customHeight="false" outlineLevel="0" collapsed="false">
      <c r="A586" s="3" t="n">
        <v>587</v>
      </c>
      <c r="B586" s="3" t="s">
        <v>790</v>
      </c>
      <c r="C586" s="3" t="s">
        <v>105</v>
      </c>
      <c r="D586" s="3" t="s">
        <v>61</v>
      </c>
      <c r="E586" s="3" t="s">
        <v>61</v>
      </c>
      <c r="F586" s="3" t="s">
        <v>633</v>
      </c>
      <c r="G586" s="3" t="s">
        <v>65</v>
      </c>
      <c r="H586" s="3" t="n">
        <v>0.439</v>
      </c>
      <c r="I586" s="13" t="n">
        <f aca="false">IF(G586=E586,1,0)</f>
        <v>0</v>
      </c>
    </row>
    <row r="587" customFormat="false" ht="15.75" hidden="false" customHeight="false" outlineLevel="0" collapsed="false">
      <c r="A587" s="3" t="n">
        <v>588</v>
      </c>
      <c r="B587" s="3" t="s">
        <v>791</v>
      </c>
      <c r="C587" s="3" t="s">
        <v>105</v>
      </c>
      <c r="D587" s="3" t="s">
        <v>55</v>
      </c>
      <c r="E587" s="3" t="s">
        <v>55</v>
      </c>
      <c r="F587" s="3" t="s">
        <v>635</v>
      </c>
      <c r="G587" s="3" t="s">
        <v>69</v>
      </c>
      <c r="H587" s="3" t="n">
        <v>0.438</v>
      </c>
      <c r="I587" s="13" t="n">
        <f aca="false">IF(G587=E587,1,0)</f>
        <v>0</v>
      </c>
    </row>
    <row r="588" customFormat="false" ht="15.75" hidden="false" customHeight="false" outlineLevel="0" collapsed="false">
      <c r="A588" s="3" t="n">
        <v>589</v>
      </c>
      <c r="B588" s="3" t="s">
        <v>792</v>
      </c>
      <c r="C588" s="3" t="s">
        <v>143</v>
      </c>
      <c r="D588" s="3" t="s">
        <v>198</v>
      </c>
      <c r="E588" s="3" t="s">
        <v>67</v>
      </c>
      <c r="F588" s="3" t="s">
        <v>635</v>
      </c>
      <c r="G588" s="3" t="s">
        <v>67</v>
      </c>
      <c r="H588" s="3" t="n">
        <v>0.437</v>
      </c>
      <c r="I588" s="13" t="n">
        <f aca="false">IF(G588=E588,1,0)</f>
        <v>1</v>
      </c>
    </row>
    <row r="589" customFormat="false" ht="15.75" hidden="false" customHeight="false" outlineLevel="0" collapsed="false">
      <c r="A589" s="3" t="n">
        <v>590</v>
      </c>
      <c r="B589" s="3" t="s">
        <v>793</v>
      </c>
      <c r="C589" s="3" t="s">
        <v>105</v>
      </c>
      <c r="D589" s="3" t="s">
        <v>61</v>
      </c>
      <c r="E589" s="3" t="s">
        <v>61</v>
      </c>
      <c r="F589" s="3" t="s">
        <v>635</v>
      </c>
      <c r="G589" s="3" t="s">
        <v>69</v>
      </c>
      <c r="H589" s="3" t="n">
        <v>0.436</v>
      </c>
      <c r="I589" s="13" t="n">
        <f aca="false">IF(G589=E589,1,0)</f>
        <v>0</v>
      </c>
    </row>
    <row r="590" customFormat="false" ht="15.75" hidden="false" customHeight="false" outlineLevel="0" collapsed="false">
      <c r="A590" s="3" t="n">
        <v>591</v>
      </c>
      <c r="B590" s="3" t="s">
        <v>794</v>
      </c>
      <c r="C590" s="3" t="s">
        <v>105</v>
      </c>
      <c r="D590" s="3" t="s">
        <v>61</v>
      </c>
      <c r="E590" s="3" t="s">
        <v>61</v>
      </c>
      <c r="F590" s="3" t="s">
        <v>635</v>
      </c>
      <c r="G590" s="3" t="s">
        <v>69</v>
      </c>
      <c r="H590" s="3" t="n">
        <v>0.434</v>
      </c>
      <c r="I590" s="13" t="n">
        <f aca="false">IF(G590=E590,1,0)</f>
        <v>0</v>
      </c>
    </row>
    <row r="591" customFormat="false" ht="15.75" hidden="false" customHeight="false" outlineLevel="0" collapsed="false">
      <c r="A591" s="3" t="n">
        <v>592</v>
      </c>
      <c r="B591" s="3" t="s">
        <v>795</v>
      </c>
      <c r="C591" s="3" t="s">
        <v>105</v>
      </c>
      <c r="D591" s="3" t="s">
        <v>61</v>
      </c>
      <c r="E591" s="3" t="s">
        <v>61</v>
      </c>
      <c r="F591" s="3" t="s">
        <v>638</v>
      </c>
      <c r="G591" s="3" t="s">
        <v>77</v>
      </c>
      <c r="H591" s="3" t="n">
        <v>0.433</v>
      </c>
      <c r="I591" s="13" t="n">
        <f aca="false">IF(G591=E591,1,0)</f>
        <v>0</v>
      </c>
    </row>
    <row r="592" customFormat="false" ht="15.75" hidden="false" customHeight="false" outlineLevel="0" collapsed="false">
      <c r="A592" s="3" t="n">
        <v>593</v>
      </c>
      <c r="B592" s="3" t="s">
        <v>796</v>
      </c>
      <c r="C592" s="3" t="s">
        <v>105</v>
      </c>
      <c r="D592" s="3" t="s">
        <v>61</v>
      </c>
      <c r="E592" s="3" t="s">
        <v>61</v>
      </c>
      <c r="F592" s="3" t="s">
        <v>635</v>
      </c>
      <c r="G592" s="3" t="s">
        <v>79</v>
      </c>
      <c r="H592" s="3" t="n">
        <v>0.431</v>
      </c>
      <c r="I592" s="13" t="n">
        <f aca="false">IF(G592=E592,1,0)</f>
        <v>0</v>
      </c>
    </row>
    <row r="593" customFormat="false" ht="15.75" hidden="false" customHeight="false" outlineLevel="0" collapsed="false">
      <c r="A593" s="3" t="n">
        <v>594</v>
      </c>
      <c r="B593" s="3" t="s">
        <v>797</v>
      </c>
      <c r="C593" s="3" t="s">
        <v>105</v>
      </c>
      <c r="D593" s="3" t="s">
        <v>61</v>
      </c>
      <c r="E593" s="3" t="s">
        <v>61</v>
      </c>
      <c r="F593" s="3" t="s">
        <v>638</v>
      </c>
      <c r="G593" s="3" t="s">
        <v>55</v>
      </c>
      <c r="H593" s="3" t="n">
        <v>0.427</v>
      </c>
      <c r="I593" s="13" t="n">
        <f aca="false">IF(G593=E593,1,0)</f>
        <v>0</v>
      </c>
    </row>
    <row r="594" customFormat="false" ht="15.75" hidden="false" customHeight="false" outlineLevel="0" collapsed="false">
      <c r="A594" s="3" t="n">
        <v>595</v>
      </c>
      <c r="B594" s="3" t="s">
        <v>798</v>
      </c>
      <c r="C594" s="3" t="s">
        <v>143</v>
      </c>
      <c r="D594" s="3" t="s">
        <v>351</v>
      </c>
      <c r="E594" s="3" t="s">
        <v>351</v>
      </c>
      <c r="F594" s="3" t="s">
        <v>638</v>
      </c>
      <c r="G594" s="3" t="s">
        <v>61</v>
      </c>
      <c r="H594" s="3" t="n">
        <v>0.426</v>
      </c>
      <c r="I594" s="13" t="n">
        <f aca="false">IF(G594=E594,1,0)</f>
        <v>0</v>
      </c>
    </row>
    <row r="595" customFormat="false" ht="15.75" hidden="false" customHeight="false" outlineLevel="0" collapsed="false">
      <c r="A595" s="3" t="n">
        <v>596</v>
      </c>
      <c r="B595" s="3" t="s">
        <v>799</v>
      </c>
      <c r="C595" s="3" t="s">
        <v>105</v>
      </c>
      <c r="D595" s="3" t="s">
        <v>61</v>
      </c>
      <c r="E595" s="3" t="s">
        <v>61</v>
      </c>
      <c r="F595" s="3" t="s">
        <v>635</v>
      </c>
      <c r="G595" s="3" t="s">
        <v>69</v>
      </c>
      <c r="H595" s="3" t="n">
        <v>0.425</v>
      </c>
      <c r="I595" s="13" t="n">
        <f aca="false">IF(G595=E595,1,0)</f>
        <v>0</v>
      </c>
    </row>
    <row r="596" customFormat="false" ht="15.75" hidden="false" customHeight="false" outlineLevel="0" collapsed="false">
      <c r="A596" s="3" t="n">
        <v>597</v>
      </c>
      <c r="B596" s="3" t="s">
        <v>800</v>
      </c>
      <c r="C596" s="3" t="s">
        <v>105</v>
      </c>
      <c r="D596" s="3" t="s">
        <v>61</v>
      </c>
      <c r="E596" s="3" t="s">
        <v>61</v>
      </c>
      <c r="F596" s="3" t="s">
        <v>638</v>
      </c>
      <c r="G596" s="3" t="s">
        <v>61</v>
      </c>
      <c r="H596" s="3" t="n">
        <v>0.422</v>
      </c>
      <c r="I596" s="13" t="n">
        <f aca="false">IF(G596=E596,1,0)</f>
        <v>1</v>
      </c>
    </row>
    <row r="597" customFormat="false" ht="15.75" hidden="false" customHeight="false" outlineLevel="0" collapsed="false">
      <c r="A597" s="3" t="n">
        <v>598</v>
      </c>
      <c r="B597" s="3" t="s">
        <v>801</v>
      </c>
      <c r="C597" s="3" t="s">
        <v>105</v>
      </c>
      <c r="D597" s="3" t="s">
        <v>55</v>
      </c>
      <c r="E597" s="3" t="s">
        <v>55</v>
      </c>
      <c r="F597" s="3" t="s">
        <v>643</v>
      </c>
      <c r="G597" s="3" t="s">
        <v>63</v>
      </c>
      <c r="H597" s="3" t="n">
        <v>0.421</v>
      </c>
      <c r="I597" s="13" t="n">
        <f aca="false">IF(G597=E597,1,0)</f>
        <v>0</v>
      </c>
    </row>
    <row r="598" customFormat="false" ht="15.75" hidden="false" customHeight="false" outlineLevel="0" collapsed="false">
      <c r="A598" s="3" t="n">
        <v>599</v>
      </c>
      <c r="B598" s="3" t="s">
        <v>802</v>
      </c>
      <c r="C598" s="3" t="s">
        <v>105</v>
      </c>
      <c r="D598" s="3" t="s">
        <v>61</v>
      </c>
      <c r="E598" s="3" t="s">
        <v>61</v>
      </c>
      <c r="F598" s="3" t="s">
        <v>635</v>
      </c>
      <c r="G598" s="3" t="s">
        <v>69</v>
      </c>
      <c r="H598" s="3" t="n">
        <v>0.418</v>
      </c>
      <c r="I598" s="13" t="n">
        <f aca="false">IF(G598=E598,1,0)</f>
        <v>0</v>
      </c>
    </row>
    <row r="599" customFormat="false" ht="15.75" hidden="false" customHeight="false" outlineLevel="0" collapsed="false">
      <c r="A599" s="3" t="n">
        <v>600</v>
      </c>
      <c r="B599" s="3" t="s">
        <v>803</v>
      </c>
      <c r="C599" s="3" t="s">
        <v>105</v>
      </c>
      <c r="D599" s="3" t="s">
        <v>61</v>
      </c>
      <c r="E599" s="3" t="s">
        <v>61</v>
      </c>
      <c r="F599" s="3" t="s">
        <v>635</v>
      </c>
      <c r="G599" s="3" t="s">
        <v>67</v>
      </c>
      <c r="H599" s="3" t="n">
        <v>0.417</v>
      </c>
      <c r="I599" s="13" t="n">
        <f aca="false">IF(G599=E599,1,0)</f>
        <v>0</v>
      </c>
    </row>
    <row r="600" customFormat="false" ht="15.75" hidden="false" customHeight="false" outlineLevel="0" collapsed="false">
      <c r="A600" s="3" t="n">
        <v>601</v>
      </c>
      <c r="B600" s="3" t="s">
        <v>804</v>
      </c>
      <c r="C600" s="3" t="s">
        <v>143</v>
      </c>
      <c r="D600" s="3" t="s">
        <v>589</v>
      </c>
      <c r="E600" s="3" t="s">
        <v>589</v>
      </c>
      <c r="F600" s="3" t="s">
        <v>635</v>
      </c>
      <c r="G600" s="3" t="s">
        <v>69</v>
      </c>
      <c r="H600" s="3" t="n">
        <v>0.415</v>
      </c>
      <c r="I600" s="13" t="n">
        <f aca="false">IF(G600=E600,1,0)</f>
        <v>0</v>
      </c>
    </row>
    <row r="601" customFormat="false" ht="15.75" hidden="false" customHeight="false" outlineLevel="0" collapsed="false">
      <c r="A601" s="3" t="n">
        <v>602</v>
      </c>
      <c r="B601" s="3" t="s">
        <v>805</v>
      </c>
      <c r="C601" s="3" t="s">
        <v>105</v>
      </c>
      <c r="D601" s="3" t="s">
        <v>61</v>
      </c>
      <c r="E601" s="3" t="s">
        <v>61</v>
      </c>
      <c r="F601" s="3" t="s">
        <v>643</v>
      </c>
      <c r="G601" s="3" t="s">
        <v>71</v>
      </c>
      <c r="H601" s="3" t="n">
        <v>0.415</v>
      </c>
      <c r="I601" s="13" t="n">
        <f aca="false">IF(G601=E601,1,0)</f>
        <v>0</v>
      </c>
    </row>
    <row r="602" customFormat="false" ht="15.75" hidden="false" customHeight="false" outlineLevel="0" collapsed="false">
      <c r="A602" s="3" t="n">
        <v>603</v>
      </c>
      <c r="B602" s="3" t="s">
        <v>806</v>
      </c>
      <c r="C602" s="3" t="s">
        <v>105</v>
      </c>
      <c r="D602" s="3" t="s">
        <v>61</v>
      </c>
      <c r="E602" s="3" t="s">
        <v>61</v>
      </c>
      <c r="F602" s="3" t="s">
        <v>635</v>
      </c>
      <c r="G602" s="3" t="s">
        <v>79</v>
      </c>
      <c r="H602" s="3" t="n">
        <v>0.412</v>
      </c>
      <c r="I602" s="13" t="n">
        <f aca="false">IF(G602=E602,1,0)</f>
        <v>0</v>
      </c>
    </row>
    <row r="603" customFormat="false" ht="15.75" hidden="false" customHeight="false" outlineLevel="0" collapsed="false">
      <c r="A603" s="3" t="n">
        <v>604</v>
      </c>
      <c r="B603" s="3" t="s">
        <v>807</v>
      </c>
      <c r="C603" s="3" t="s">
        <v>105</v>
      </c>
      <c r="D603" s="3" t="s">
        <v>61</v>
      </c>
      <c r="E603" s="3" t="s">
        <v>61</v>
      </c>
      <c r="F603" s="3" t="s">
        <v>638</v>
      </c>
      <c r="G603" s="3" t="s">
        <v>61</v>
      </c>
      <c r="H603" s="3" t="n">
        <v>0.409</v>
      </c>
      <c r="I603" s="13" t="n">
        <f aca="false">IF(G603=E603,1,0)</f>
        <v>1</v>
      </c>
    </row>
    <row r="604" customFormat="false" ht="15.75" hidden="false" customHeight="false" outlineLevel="0" collapsed="false">
      <c r="A604" s="3" t="n">
        <v>605</v>
      </c>
      <c r="B604" s="3" t="s">
        <v>808</v>
      </c>
      <c r="C604" s="3" t="s">
        <v>143</v>
      </c>
      <c r="D604" s="3" t="s">
        <v>589</v>
      </c>
      <c r="E604" s="3" t="s">
        <v>589</v>
      </c>
      <c r="F604" s="3" t="s">
        <v>643</v>
      </c>
      <c r="G604" s="3" t="s">
        <v>63</v>
      </c>
      <c r="H604" s="3" t="n">
        <v>0.408</v>
      </c>
      <c r="I604" s="13" t="n">
        <f aca="false">IF(G604=E604,1,0)</f>
        <v>0</v>
      </c>
    </row>
    <row r="605" customFormat="false" ht="15.75" hidden="false" customHeight="false" outlineLevel="0" collapsed="false">
      <c r="A605" s="3" t="n">
        <v>606</v>
      </c>
      <c r="B605" s="3" t="s">
        <v>809</v>
      </c>
      <c r="C605" s="3" t="s">
        <v>105</v>
      </c>
      <c r="D605" s="3" t="s">
        <v>61</v>
      </c>
      <c r="E605" s="3" t="s">
        <v>61</v>
      </c>
      <c r="F605" s="3" t="s">
        <v>633</v>
      </c>
      <c r="G605" s="3" t="s">
        <v>65</v>
      </c>
      <c r="H605" s="3" t="n">
        <v>0.403</v>
      </c>
      <c r="I605" s="13" t="n">
        <f aca="false">IF(G605=E605,1,0)</f>
        <v>0</v>
      </c>
    </row>
    <row r="606" customFormat="false" ht="15.75" hidden="false" customHeight="false" outlineLevel="0" collapsed="false">
      <c r="A606" s="3" t="n">
        <v>607</v>
      </c>
      <c r="B606" s="3" t="s">
        <v>810</v>
      </c>
      <c r="C606" s="3" t="s">
        <v>143</v>
      </c>
      <c r="D606" s="3" t="s">
        <v>198</v>
      </c>
      <c r="E606" s="3" t="s">
        <v>67</v>
      </c>
      <c r="F606" s="3" t="s">
        <v>643</v>
      </c>
      <c r="G606" s="3" t="s">
        <v>63</v>
      </c>
      <c r="H606" s="3" t="n">
        <v>0.401</v>
      </c>
      <c r="I606" s="13" t="n">
        <f aca="false">IF(G606=E606,1,0)</f>
        <v>0</v>
      </c>
    </row>
    <row r="607" customFormat="false" ht="15.75" hidden="false" customHeight="false" outlineLevel="0" collapsed="false">
      <c r="A607" s="3" t="n">
        <v>608</v>
      </c>
      <c r="B607" s="3" t="s">
        <v>811</v>
      </c>
      <c r="C607" s="3" t="s">
        <v>105</v>
      </c>
      <c r="D607" s="3" t="s">
        <v>61</v>
      </c>
      <c r="E607" s="3" t="s">
        <v>61</v>
      </c>
      <c r="F607" s="3" t="s">
        <v>635</v>
      </c>
      <c r="G607" s="3" t="s">
        <v>79</v>
      </c>
      <c r="H607" s="3" t="n">
        <v>0.401</v>
      </c>
      <c r="I607" s="13" t="n">
        <f aca="false">IF(G607=E607,1,0)</f>
        <v>0</v>
      </c>
    </row>
    <row r="608" customFormat="false" ht="15.75" hidden="false" customHeight="false" outlineLevel="0" collapsed="false">
      <c r="A608" s="3" t="n">
        <v>609</v>
      </c>
      <c r="B608" s="3" t="s">
        <v>812</v>
      </c>
      <c r="C608" s="3" t="s">
        <v>143</v>
      </c>
      <c r="D608" s="3" t="s">
        <v>198</v>
      </c>
      <c r="E608" s="3" t="s">
        <v>67</v>
      </c>
      <c r="F608" s="3" t="s">
        <v>638</v>
      </c>
      <c r="G608" s="3" t="s">
        <v>77</v>
      </c>
      <c r="H608" s="3" t="n">
        <v>0.394</v>
      </c>
      <c r="I608" s="13" t="n">
        <f aca="false">IF(G608=E608,1,0)</f>
        <v>0</v>
      </c>
    </row>
    <row r="609" customFormat="false" ht="15.75" hidden="false" customHeight="false" outlineLevel="0" collapsed="false">
      <c r="A609" s="3" t="n">
        <v>610</v>
      </c>
      <c r="B609" s="3" t="s">
        <v>813</v>
      </c>
      <c r="C609" s="3" t="s">
        <v>105</v>
      </c>
      <c r="D609" s="3" t="s">
        <v>61</v>
      </c>
      <c r="E609" s="3" t="s">
        <v>61</v>
      </c>
      <c r="F609" s="3" t="s">
        <v>633</v>
      </c>
      <c r="G609" s="3" t="s">
        <v>65</v>
      </c>
      <c r="H609" s="3" t="n">
        <v>0.392</v>
      </c>
      <c r="I609" s="13" t="n">
        <f aca="false">IF(G609=E609,1,0)</f>
        <v>0</v>
      </c>
    </row>
    <row r="610" customFormat="false" ht="15.75" hidden="false" customHeight="false" outlineLevel="0" collapsed="false">
      <c r="A610" s="3" t="n">
        <v>611</v>
      </c>
      <c r="B610" s="3" t="s">
        <v>814</v>
      </c>
      <c r="C610" s="3" t="s">
        <v>105</v>
      </c>
      <c r="D610" s="3" t="s">
        <v>61</v>
      </c>
      <c r="E610" s="3" t="s">
        <v>61</v>
      </c>
      <c r="F610" s="3" t="s">
        <v>638</v>
      </c>
      <c r="G610" s="3" t="s">
        <v>61</v>
      </c>
      <c r="H610" s="3" t="n">
        <v>0.39</v>
      </c>
      <c r="I610" s="13" t="n">
        <f aca="false">IF(G610=E610,1,0)</f>
        <v>1</v>
      </c>
    </row>
    <row r="611" customFormat="false" ht="15.75" hidden="false" customHeight="false" outlineLevel="0" collapsed="false">
      <c r="A611" s="3" t="n">
        <v>612</v>
      </c>
      <c r="B611" s="3" t="s">
        <v>815</v>
      </c>
      <c r="C611" s="3" t="s">
        <v>105</v>
      </c>
      <c r="D611" s="3" t="s">
        <v>77</v>
      </c>
      <c r="E611" s="3" t="s">
        <v>77</v>
      </c>
      <c r="F611" s="3" t="s">
        <v>643</v>
      </c>
      <c r="G611" s="3" t="s">
        <v>63</v>
      </c>
      <c r="H611" s="3" t="n">
        <v>0.389</v>
      </c>
      <c r="I611" s="13" t="n">
        <f aca="false">IF(G611=E611,1,0)</f>
        <v>0</v>
      </c>
    </row>
    <row r="612" customFormat="false" ht="15.75" hidden="false" customHeight="false" outlineLevel="0" collapsed="false">
      <c r="A612" s="3" t="n">
        <v>613</v>
      </c>
      <c r="B612" s="3" t="s">
        <v>816</v>
      </c>
      <c r="C612" s="3" t="s">
        <v>105</v>
      </c>
      <c r="D612" s="3" t="s">
        <v>61</v>
      </c>
      <c r="E612" s="3" t="s">
        <v>61</v>
      </c>
      <c r="F612" s="3" t="s">
        <v>643</v>
      </c>
      <c r="G612" s="3" t="s">
        <v>83</v>
      </c>
      <c r="H612" s="3" t="n">
        <v>0.389</v>
      </c>
      <c r="I612" s="13" t="n">
        <f aca="false">IF(G612=E612,1,0)</f>
        <v>0</v>
      </c>
    </row>
    <row r="613" customFormat="false" ht="15.75" hidden="false" customHeight="false" outlineLevel="0" collapsed="false">
      <c r="A613" s="3" t="n">
        <v>614</v>
      </c>
      <c r="B613" s="3" t="s">
        <v>817</v>
      </c>
      <c r="C613" s="3" t="s">
        <v>105</v>
      </c>
      <c r="D613" s="3" t="s">
        <v>61</v>
      </c>
      <c r="E613" s="3" t="s">
        <v>61</v>
      </c>
      <c r="F613" s="3" t="s">
        <v>633</v>
      </c>
      <c r="G613" s="3" t="s">
        <v>65</v>
      </c>
      <c r="H613" s="3" t="n">
        <v>0.389</v>
      </c>
      <c r="I613" s="13" t="n">
        <f aca="false">IF(G613=E613,1,0)</f>
        <v>0</v>
      </c>
    </row>
    <row r="614" customFormat="false" ht="15.75" hidden="false" customHeight="false" outlineLevel="0" collapsed="false">
      <c r="A614" s="3" t="n">
        <v>615</v>
      </c>
      <c r="B614" s="3" t="s">
        <v>818</v>
      </c>
      <c r="C614" s="3" t="s">
        <v>105</v>
      </c>
      <c r="D614" s="3" t="s">
        <v>77</v>
      </c>
      <c r="E614" s="3" t="s">
        <v>77</v>
      </c>
      <c r="F614" s="3" t="s">
        <v>635</v>
      </c>
      <c r="G614" s="3" t="s">
        <v>69</v>
      </c>
      <c r="H614" s="3" t="n">
        <v>0.388</v>
      </c>
      <c r="I614" s="13" t="n">
        <f aca="false">IF(G614=E614,1,0)</f>
        <v>0</v>
      </c>
    </row>
    <row r="615" customFormat="false" ht="15.75" hidden="false" customHeight="false" outlineLevel="0" collapsed="false">
      <c r="A615" s="3" t="n">
        <v>616</v>
      </c>
      <c r="B615" s="3" t="s">
        <v>819</v>
      </c>
      <c r="C615" s="3" t="s">
        <v>143</v>
      </c>
      <c r="D615" s="3" t="s">
        <v>288</v>
      </c>
      <c r="E615" s="3" t="s">
        <v>288</v>
      </c>
      <c r="F615" s="3" t="s">
        <v>638</v>
      </c>
      <c r="G615" s="3" t="s">
        <v>61</v>
      </c>
      <c r="H615" s="3" t="n">
        <v>0.385</v>
      </c>
      <c r="I615" s="13" t="n">
        <f aca="false">IF(G615=E615,1,0)</f>
        <v>0</v>
      </c>
    </row>
    <row r="616" customFormat="false" ht="15.75" hidden="false" customHeight="false" outlineLevel="0" collapsed="false">
      <c r="A616" s="3" t="n">
        <v>617</v>
      </c>
      <c r="B616" s="3" t="s">
        <v>820</v>
      </c>
      <c r="C616" s="3" t="s">
        <v>105</v>
      </c>
      <c r="D616" s="3" t="s">
        <v>61</v>
      </c>
      <c r="E616" s="3" t="s">
        <v>61</v>
      </c>
      <c r="F616" s="3" t="s">
        <v>635</v>
      </c>
      <c r="G616" s="3" t="s">
        <v>69</v>
      </c>
      <c r="H616" s="3" t="n">
        <v>0.383</v>
      </c>
      <c r="I616" s="13" t="n">
        <f aca="false">IF(G616=E616,1,0)</f>
        <v>0</v>
      </c>
    </row>
    <row r="617" customFormat="false" ht="15.75" hidden="false" customHeight="false" outlineLevel="0" collapsed="false">
      <c r="A617" s="3" t="n">
        <v>618</v>
      </c>
      <c r="B617" s="3" t="s">
        <v>821</v>
      </c>
      <c r="C617" s="3" t="s">
        <v>105</v>
      </c>
      <c r="D617" s="3" t="s">
        <v>61</v>
      </c>
      <c r="E617" s="3" t="s">
        <v>61</v>
      </c>
      <c r="F617" s="3" t="s">
        <v>643</v>
      </c>
      <c r="G617" s="3" t="s">
        <v>83</v>
      </c>
      <c r="H617" s="3" t="n">
        <v>0.383</v>
      </c>
      <c r="I617" s="13" t="n">
        <f aca="false">IF(G617=E617,1,0)</f>
        <v>0</v>
      </c>
    </row>
    <row r="618" customFormat="false" ht="15.75" hidden="false" customHeight="false" outlineLevel="0" collapsed="false">
      <c r="A618" s="3" t="n">
        <v>619</v>
      </c>
      <c r="B618" s="3" t="s">
        <v>822</v>
      </c>
      <c r="C618" s="3" t="s">
        <v>105</v>
      </c>
      <c r="D618" s="3" t="s">
        <v>61</v>
      </c>
      <c r="E618" s="3" t="s">
        <v>61</v>
      </c>
      <c r="F618" s="3" t="s">
        <v>635</v>
      </c>
      <c r="G618" s="3" t="s">
        <v>69</v>
      </c>
      <c r="H618" s="3" t="n">
        <v>0.382</v>
      </c>
      <c r="I618" s="13" t="n">
        <f aca="false">IF(G618=E618,1,0)</f>
        <v>0</v>
      </c>
    </row>
    <row r="619" customFormat="false" ht="15.75" hidden="false" customHeight="false" outlineLevel="0" collapsed="false">
      <c r="A619" s="3" t="n">
        <v>620</v>
      </c>
      <c r="B619" s="3" t="s">
        <v>823</v>
      </c>
      <c r="C619" s="3" t="s">
        <v>105</v>
      </c>
      <c r="D619" s="3" t="s">
        <v>61</v>
      </c>
      <c r="E619" s="3" t="s">
        <v>61</v>
      </c>
      <c r="F619" s="3" t="s">
        <v>635</v>
      </c>
      <c r="G619" s="3" t="s">
        <v>79</v>
      </c>
      <c r="H619" s="3" t="n">
        <v>0.379</v>
      </c>
      <c r="I619" s="13" t="n">
        <f aca="false">IF(G619=E619,1,0)</f>
        <v>0</v>
      </c>
    </row>
    <row r="620" customFormat="false" ht="15.75" hidden="false" customHeight="false" outlineLevel="0" collapsed="false">
      <c r="A620" s="3" t="n">
        <v>621</v>
      </c>
      <c r="B620" s="3" t="s">
        <v>824</v>
      </c>
      <c r="C620" s="3" t="s">
        <v>105</v>
      </c>
      <c r="D620" s="3" t="s">
        <v>61</v>
      </c>
      <c r="E620" s="3" t="s">
        <v>61</v>
      </c>
      <c r="F620" s="3" t="s">
        <v>638</v>
      </c>
      <c r="G620" s="3" t="s">
        <v>59</v>
      </c>
      <c r="H620" s="3" t="n">
        <v>0.373</v>
      </c>
      <c r="I620" s="13" t="n">
        <f aca="false">IF(G620=E620,1,0)</f>
        <v>0</v>
      </c>
    </row>
    <row r="621" customFormat="false" ht="15.75" hidden="false" customHeight="false" outlineLevel="0" collapsed="false">
      <c r="A621" s="3" t="n">
        <v>622</v>
      </c>
      <c r="B621" s="3" t="s">
        <v>825</v>
      </c>
      <c r="C621" s="3" t="s">
        <v>105</v>
      </c>
      <c r="D621" s="3" t="s">
        <v>61</v>
      </c>
      <c r="E621" s="3" t="s">
        <v>61</v>
      </c>
      <c r="F621" s="3" t="s">
        <v>635</v>
      </c>
      <c r="G621" s="3" t="s">
        <v>69</v>
      </c>
      <c r="H621" s="3" t="n">
        <v>0.372</v>
      </c>
      <c r="I621" s="13" t="n">
        <f aca="false">IF(G621=E621,1,0)</f>
        <v>0</v>
      </c>
    </row>
    <row r="622" customFormat="false" ht="15.75" hidden="false" customHeight="false" outlineLevel="0" collapsed="false">
      <c r="A622" s="3" t="n">
        <v>623</v>
      </c>
      <c r="B622" s="3" t="s">
        <v>826</v>
      </c>
      <c r="C622" s="3" t="s">
        <v>143</v>
      </c>
      <c r="D622" s="3" t="s">
        <v>288</v>
      </c>
      <c r="E622" s="3" t="s">
        <v>288</v>
      </c>
      <c r="F622" s="3" t="s">
        <v>635</v>
      </c>
      <c r="G622" s="3" t="s">
        <v>79</v>
      </c>
      <c r="H622" s="3" t="n">
        <v>0.372</v>
      </c>
      <c r="I622" s="13" t="n">
        <f aca="false">IF(G622=E622,1,0)</f>
        <v>0</v>
      </c>
    </row>
    <row r="623" customFormat="false" ht="15.75" hidden="false" customHeight="false" outlineLevel="0" collapsed="false">
      <c r="A623" s="3" t="n">
        <v>624</v>
      </c>
      <c r="B623" s="3" t="s">
        <v>827</v>
      </c>
      <c r="C623" s="3" t="s">
        <v>105</v>
      </c>
      <c r="D623" s="3" t="s">
        <v>61</v>
      </c>
      <c r="E623" s="3" t="s">
        <v>61</v>
      </c>
      <c r="F623" s="3" t="s">
        <v>482</v>
      </c>
      <c r="G623" s="3" t="s">
        <v>81</v>
      </c>
      <c r="H623" s="3" t="n">
        <v>0.369</v>
      </c>
      <c r="I623" s="13" t="n">
        <f aca="false">IF(G623=E623,1,0)</f>
        <v>0</v>
      </c>
    </row>
    <row r="624" customFormat="false" ht="15.75" hidden="false" customHeight="false" outlineLevel="0" collapsed="false">
      <c r="A624" s="3" t="n">
        <v>625</v>
      </c>
      <c r="B624" s="3" t="s">
        <v>828</v>
      </c>
      <c r="C624" s="3" t="s">
        <v>105</v>
      </c>
      <c r="D624" s="3" t="s">
        <v>61</v>
      </c>
      <c r="E624" s="3" t="s">
        <v>61</v>
      </c>
      <c r="F624" s="3" t="s">
        <v>643</v>
      </c>
      <c r="G624" s="3" t="s">
        <v>83</v>
      </c>
      <c r="H624" s="3" t="n">
        <v>0.368</v>
      </c>
      <c r="I624" s="13" t="n">
        <f aca="false">IF(G624=E624,1,0)</f>
        <v>0</v>
      </c>
    </row>
    <row r="625" customFormat="false" ht="15.75" hidden="false" customHeight="false" outlineLevel="0" collapsed="false">
      <c r="A625" s="3" t="n">
        <v>626</v>
      </c>
      <c r="B625" s="3" t="s">
        <v>829</v>
      </c>
      <c r="C625" s="3" t="s">
        <v>105</v>
      </c>
      <c r="D625" s="3" t="s">
        <v>61</v>
      </c>
      <c r="E625" s="3" t="s">
        <v>61</v>
      </c>
      <c r="F625" s="3" t="s">
        <v>638</v>
      </c>
      <c r="G625" s="3" t="s">
        <v>61</v>
      </c>
      <c r="H625" s="3" t="n">
        <v>0.368</v>
      </c>
      <c r="I625" s="13" t="n">
        <f aca="false">IF(G625=E625,1,0)</f>
        <v>1</v>
      </c>
    </row>
    <row r="626" customFormat="false" ht="15.75" hidden="false" customHeight="false" outlineLevel="0" collapsed="false">
      <c r="A626" s="3" t="n">
        <v>627</v>
      </c>
      <c r="B626" s="3" t="s">
        <v>830</v>
      </c>
      <c r="C626" s="3" t="s">
        <v>105</v>
      </c>
      <c r="D626" s="3" t="s">
        <v>61</v>
      </c>
      <c r="E626" s="3" t="s">
        <v>61</v>
      </c>
      <c r="F626" s="3" t="s">
        <v>643</v>
      </c>
      <c r="G626" s="3" t="s">
        <v>83</v>
      </c>
      <c r="H626" s="3" t="n">
        <v>0.365</v>
      </c>
      <c r="I626" s="13" t="n">
        <f aca="false">IF(G626=E626,1,0)</f>
        <v>0</v>
      </c>
    </row>
    <row r="627" customFormat="false" ht="15.75" hidden="false" customHeight="false" outlineLevel="0" collapsed="false">
      <c r="A627" s="3" t="n">
        <v>628</v>
      </c>
      <c r="B627" s="3" t="s">
        <v>831</v>
      </c>
      <c r="C627" s="3" t="s">
        <v>105</v>
      </c>
      <c r="D627" s="3" t="s">
        <v>61</v>
      </c>
      <c r="E627" s="3" t="s">
        <v>61</v>
      </c>
      <c r="F627" s="3" t="s">
        <v>638</v>
      </c>
      <c r="G627" s="3" t="s">
        <v>61</v>
      </c>
      <c r="H627" s="3" t="n">
        <v>0.362</v>
      </c>
      <c r="I627" s="13" t="n">
        <f aca="false">IF(G627=E627,1,0)</f>
        <v>1</v>
      </c>
    </row>
    <row r="628" customFormat="false" ht="15.75" hidden="false" customHeight="false" outlineLevel="0" collapsed="false">
      <c r="A628" s="3" t="n">
        <v>629</v>
      </c>
      <c r="B628" s="3" t="s">
        <v>832</v>
      </c>
      <c r="C628" s="3" t="s">
        <v>105</v>
      </c>
      <c r="D628" s="3" t="s">
        <v>61</v>
      </c>
      <c r="E628" s="3" t="s">
        <v>61</v>
      </c>
      <c r="F628" s="3" t="s">
        <v>638</v>
      </c>
      <c r="G628" s="3" t="s">
        <v>61</v>
      </c>
      <c r="H628" s="3" t="n">
        <v>0.361</v>
      </c>
      <c r="I628" s="13" t="n">
        <f aca="false">IF(G628=E628,1,0)</f>
        <v>1</v>
      </c>
    </row>
    <row r="629" customFormat="false" ht="15.75" hidden="false" customHeight="false" outlineLevel="0" collapsed="false">
      <c r="A629" s="3" t="n">
        <v>630</v>
      </c>
      <c r="B629" s="3" t="s">
        <v>833</v>
      </c>
      <c r="C629" s="3" t="s">
        <v>105</v>
      </c>
      <c r="D629" s="3" t="s">
        <v>61</v>
      </c>
      <c r="E629" s="3" t="s">
        <v>61</v>
      </c>
      <c r="F629" s="3" t="s">
        <v>638</v>
      </c>
      <c r="G629" s="3" t="s">
        <v>61</v>
      </c>
      <c r="H629" s="3" t="n">
        <v>0.361</v>
      </c>
      <c r="I629" s="13" t="n">
        <f aca="false">IF(G629=E629,1,0)</f>
        <v>1</v>
      </c>
    </row>
    <row r="630" customFormat="false" ht="15.75" hidden="false" customHeight="false" outlineLevel="0" collapsed="false">
      <c r="A630" s="3" t="n">
        <v>631</v>
      </c>
      <c r="B630" s="3" t="s">
        <v>834</v>
      </c>
      <c r="C630" s="3" t="s">
        <v>105</v>
      </c>
      <c r="D630" s="3" t="s">
        <v>61</v>
      </c>
      <c r="E630" s="3" t="s">
        <v>61</v>
      </c>
      <c r="F630" s="3" t="s">
        <v>638</v>
      </c>
      <c r="G630" s="3" t="s">
        <v>77</v>
      </c>
      <c r="H630" s="3" t="n">
        <v>0.359</v>
      </c>
      <c r="I630" s="13" t="n">
        <f aca="false">IF(G630=E630,1,0)</f>
        <v>0</v>
      </c>
    </row>
    <row r="631" customFormat="false" ht="15.75" hidden="false" customHeight="false" outlineLevel="0" collapsed="false">
      <c r="A631" s="3" t="n">
        <v>632</v>
      </c>
      <c r="B631" s="3" t="s">
        <v>835</v>
      </c>
      <c r="C631" s="3" t="s">
        <v>105</v>
      </c>
      <c r="D631" s="3" t="s">
        <v>61</v>
      </c>
      <c r="E631" s="3" t="s">
        <v>61</v>
      </c>
      <c r="F631" s="3" t="s">
        <v>635</v>
      </c>
      <c r="G631" s="3" t="s">
        <v>69</v>
      </c>
      <c r="H631" s="3" t="n">
        <v>0.357</v>
      </c>
      <c r="I631" s="13" t="n">
        <f aca="false">IF(G631=E631,1,0)</f>
        <v>0</v>
      </c>
    </row>
    <row r="632" customFormat="false" ht="15.75" hidden="false" customHeight="false" outlineLevel="0" collapsed="false">
      <c r="A632" s="3" t="n">
        <v>633</v>
      </c>
      <c r="B632" s="3" t="s">
        <v>836</v>
      </c>
      <c r="C632" s="3" t="s">
        <v>143</v>
      </c>
      <c r="D632" s="3" t="s">
        <v>198</v>
      </c>
      <c r="E632" s="3" t="s">
        <v>67</v>
      </c>
      <c r="F632" s="3" t="s">
        <v>482</v>
      </c>
      <c r="G632" s="3" t="s">
        <v>81</v>
      </c>
      <c r="H632" s="3" t="n">
        <v>0.354</v>
      </c>
      <c r="I632" s="13" t="n">
        <f aca="false">IF(G632=E632,1,0)</f>
        <v>0</v>
      </c>
    </row>
    <row r="633" customFormat="false" ht="15.75" hidden="false" customHeight="false" outlineLevel="0" collapsed="false">
      <c r="A633" s="3" t="n">
        <v>634</v>
      </c>
      <c r="B633" s="3" t="s">
        <v>837</v>
      </c>
      <c r="C633" s="3" t="s">
        <v>105</v>
      </c>
      <c r="D633" s="3" t="s">
        <v>61</v>
      </c>
      <c r="E633" s="3" t="s">
        <v>61</v>
      </c>
      <c r="F633" s="3" t="s">
        <v>643</v>
      </c>
      <c r="G633" s="3" t="s">
        <v>83</v>
      </c>
      <c r="H633" s="3" t="n">
        <v>0.351</v>
      </c>
      <c r="I633" s="13" t="n">
        <f aca="false">IF(G633=E633,1,0)</f>
        <v>0</v>
      </c>
    </row>
    <row r="634" customFormat="false" ht="15.75" hidden="false" customHeight="false" outlineLevel="0" collapsed="false">
      <c r="A634" s="3" t="n">
        <v>635</v>
      </c>
      <c r="B634" s="3" t="s">
        <v>838</v>
      </c>
      <c r="C634" s="3" t="s">
        <v>150</v>
      </c>
      <c r="D634" s="3" t="s">
        <v>75</v>
      </c>
      <c r="E634" s="3" t="s">
        <v>75</v>
      </c>
      <c r="F634" s="3" t="s">
        <v>643</v>
      </c>
      <c r="G634" s="3" t="s">
        <v>63</v>
      </c>
      <c r="H634" s="3" t="n">
        <v>0.351</v>
      </c>
      <c r="I634" s="13" t="n">
        <f aca="false">IF(G634=E634,1,0)</f>
        <v>0</v>
      </c>
    </row>
    <row r="635" customFormat="false" ht="15.75" hidden="false" customHeight="false" outlineLevel="0" collapsed="false">
      <c r="A635" s="3" t="n">
        <v>636</v>
      </c>
      <c r="B635" s="3" t="s">
        <v>839</v>
      </c>
      <c r="C635" s="3" t="s">
        <v>105</v>
      </c>
      <c r="D635" s="3" t="s">
        <v>61</v>
      </c>
      <c r="E635" s="3" t="s">
        <v>61</v>
      </c>
      <c r="F635" s="3" t="s">
        <v>633</v>
      </c>
      <c r="G635" s="3" t="s">
        <v>65</v>
      </c>
      <c r="H635" s="3" t="n">
        <v>0.35</v>
      </c>
      <c r="I635" s="13" t="n">
        <f aca="false">IF(G635=E635,1,0)</f>
        <v>0</v>
      </c>
    </row>
    <row r="636" customFormat="false" ht="15.75" hidden="false" customHeight="false" outlineLevel="0" collapsed="false">
      <c r="A636" s="3" t="n">
        <v>637</v>
      </c>
      <c r="B636" s="3" t="s">
        <v>840</v>
      </c>
      <c r="C636" s="3" t="s">
        <v>143</v>
      </c>
      <c r="D636" s="3" t="s">
        <v>198</v>
      </c>
      <c r="E636" s="3" t="s">
        <v>67</v>
      </c>
      <c r="F636" s="3" t="s">
        <v>638</v>
      </c>
      <c r="G636" s="3" t="s">
        <v>77</v>
      </c>
      <c r="H636" s="3" t="n">
        <v>0.35</v>
      </c>
      <c r="I636" s="13" t="n">
        <f aca="false">IF(G636=E636,1,0)</f>
        <v>0</v>
      </c>
    </row>
    <row r="637" customFormat="false" ht="15.75" hidden="false" customHeight="false" outlineLevel="0" collapsed="false">
      <c r="A637" s="3" t="n">
        <v>638</v>
      </c>
      <c r="B637" s="3" t="s">
        <v>841</v>
      </c>
      <c r="C637" s="3" t="s">
        <v>143</v>
      </c>
      <c r="D637" s="3" t="s">
        <v>351</v>
      </c>
      <c r="E637" s="3" t="s">
        <v>351</v>
      </c>
      <c r="F637" s="3" t="s">
        <v>638</v>
      </c>
      <c r="G637" s="3" t="s">
        <v>61</v>
      </c>
      <c r="H637" s="3" t="n">
        <v>0.35</v>
      </c>
      <c r="I637" s="13" t="n">
        <f aca="false">IF(G637=E637,1,0)</f>
        <v>0</v>
      </c>
    </row>
    <row r="638" customFormat="false" ht="15.75" hidden="false" customHeight="false" outlineLevel="0" collapsed="false">
      <c r="A638" s="3" t="n">
        <v>639</v>
      </c>
      <c r="B638" s="3" t="s">
        <v>168</v>
      </c>
      <c r="C638" s="3" t="s">
        <v>105</v>
      </c>
      <c r="D638" s="3" t="s">
        <v>61</v>
      </c>
      <c r="E638" s="3" t="s">
        <v>61</v>
      </c>
      <c r="F638" s="3" t="s">
        <v>635</v>
      </c>
      <c r="G638" s="3" t="s">
        <v>79</v>
      </c>
      <c r="H638" s="3" t="n">
        <v>0.345</v>
      </c>
      <c r="I638" s="13" t="n">
        <f aca="false">IF(G638=E638,1,0)</f>
        <v>0</v>
      </c>
    </row>
    <row r="639" customFormat="false" ht="15.75" hidden="false" customHeight="false" outlineLevel="0" collapsed="false">
      <c r="A639" s="3" t="n">
        <v>640</v>
      </c>
      <c r="B639" s="3" t="s">
        <v>842</v>
      </c>
      <c r="C639" s="3" t="s">
        <v>105</v>
      </c>
      <c r="D639" s="3" t="s">
        <v>77</v>
      </c>
      <c r="E639" s="3" t="s">
        <v>77</v>
      </c>
      <c r="F639" s="3" t="s">
        <v>635</v>
      </c>
      <c r="G639" s="3" t="s">
        <v>67</v>
      </c>
      <c r="H639" s="3" t="n">
        <v>0.343</v>
      </c>
      <c r="I639" s="13" t="n">
        <f aca="false">IF(G639=E639,1,0)</f>
        <v>0</v>
      </c>
    </row>
    <row r="640" customFormat="false" ht="15.75" hidden="false" customHeight="false" outlineLevel="0" collapsed="false">
      <c r="A640" s="3" t="n">
        <v>641</v>
      </c>
      <c r="B640" s="3" t="s">
        <v>843</v>
      </c>
      <c r="C640" s="3" t="s">
        <v>105</v>
      </c>
      <c r="D640" s="3" t="s">
        <v>61</v>
      </c>
      <c r="E640" s="3" t="s">
        <v>61</v>
      </c>
      <c r="F640" s="3" t="s">
        <v>635</v>
      </c>
      <c r="G640" s="3" t="s">
        <v>69</v>
      </c>
      <c r="H640" s="3" t="n">
        <v>0.339</v>
      </c>
      <c r="I640" s="13" t="n">
        <f aca="false">IF(G640=E640,1,0)</f>
        <v>0</v>
      </c>
    </row>
    <row r="641" customFormat="false" ht="15.75" hidden="false" customHeight="false" outlineLevel="0" collapsed="false">
      <c r="A641" s="3" t="n">
        <v>642</v>
      </c>
      <c r="B641" s="3" t="s">
        <v>844</v>
      </c>
      <c r="C641" s="3" t="s">
        <v>143</v>
      </c>
      <c r="D641" s="3" t="s">
        <v>351</v>
      </c>
      <c r="E641" s="3" t="s">
        <v>351</v>
      </c>
      <c r="F641" s="3" t="s">
        <v>643</v>
      </c>
      <c r="G641" s="3" t="s">
        <v>83</v>
      </c>
      <c r="H641" s="3" t="n">
        <v>0.339</v>
      </c>
      <c r="I641" s="13" t="n">
        <f aca="false">IF(G641=E641,1,0)</f>
        <v>0</v>
      </c>
    </row>
    <row r="642" customFormat="false" ht="15.75" hidden="false" customHeight="false" outlineLevel="0" collapsed="false">
      <c r="A642" s="3" t="n">
        <v>643</v>
      </c>
      <c r="B642" s="3" t="s">
        <v>845</v>
      </c>
      <c r="C642" s="3" t="s">
        <v>105</v>
      </c>
      <c r="D642" s="3" t="s">
        <v>61</v>
      </c>
      <c r="E642" s="3" t="s">
        <v>61</v>
      </c>
      <c r="F642" s="3" t="s">
        <v>635</v>
      </c>
      <c r="G642" s="3" t="s">
        <v>69</v>
      </c>
      <c r="H642" s="3" t="n">
        <v>0.334</v>
      </c>
      <c r="I642" s="13" t="n">
        <f aca="false">IF(G642=E642,1,0)</f>
        <v>0</v>
      </c>
    </row>
    <row r="643" customFormat="false" ht="15.75" hidden="false" customHeight="false" outlineLevel="0" collapsed="false">
      <c r="A643" s="3" t="n">
        <v>644</v>
      </c>
      <c r="B643" s="3" t="s">
        <v>846</v>
      </c>
      <c r="C643" s="3" t="s">
        <v>105</v>
      </c>
      <c r="D643" s="3" t="s">
        <v>61</v>
      </c>
      <c r="E643" s="3" t="s">
        <v>61</v>
      </c>
      <c r="F643" s="3" t="s">
        <v>638</v>
      </c>
      <c r="G643" s="3" t="s">
        <v>61</v>
      </c>
      <c r="H643" s="3" t="n">
        <v>0.331</v>
      </c>
      <c r="I643" s="13" t="n">
        <f aca="false">IF(G643=E643,1,0)</f>
        <v>1</v>
      </c>
    </row>
    <row r="644" customFormat="false" ht="15.75" hidden="false" customHeight="false" outlineLevel="0" collapsed="false">
      <c r="A644" s="3" t="n">
        <v>645</v>
      </c>
      <c r="B644" s="3" t="s">
        <v>847</v>
      </c>
      <c r="C644" s="3" t="s">
        <v>105</v>
      </c>
      <c r="D644" s="3" t="s">
        <v>61</v>
      </c>
      <c r="E644" s="3" t="s">
        <v>61</v>
      </c>
      <c r="F644" s="3" t="s">
        <v>643</v>
      </c>
      <c r="G644" s="3" t="s">
        <v>63</v>
      </c>
      <c r="H644" s="3" t="n">
        <v>0.33</v>
      </c>
      <c r="I644" s="13" t="n">
        <f aca="false">IF(G644=E644,1,0)</f>
        <v>0</v>
      </c>
    </row>
    <row r="645" customFormat="false" ht="15.75" hidden="false" customHeight="false" outlineLevel="0" collapsed="false">
      <c r="A645" s="3" t="n">
        <v>646</v>
      </c>
      <c r="B645" s="3" t="s">
        <v>848</v>
      </c>
      <c r="C645" s="3" t="s">
        <v>105</v>
      </c>
      <c r="D645" s="3" t="s">
        <v>61</v>
      </c>
      <c r="E645" s="3" t="s">
        <v>61</v>
      </c>
      <c r="F645" s="3" t="s">
        <v>643</v>
      </c>
      <c r="G645" s="3" t="s">
        <v>63</v>
      </c>
      <c r="H645" s="3" t="n">
        <v>0.33</v>
      </c>
      <c r="I645" s="13" t="n">
        <f aca="false">IF(G645=E645,1,0)</f>
        <v>0</v>
      </c>
    </row>
    <row r="646" customFormat="false" ht="15.75" hidden="false" customHeight="false" outlineLevel="0" collapsed="false">
      <c r="A646" s="3" t="n">
        <v>647</v>
      </c>
      <c r="B646" s="3" t="s">
        <v>849</v>
      </c>
      <c r="C646" s="3" t="s">
        <v>105</v>
      </c>
      <c r="D646" s="3" t="s">
        <v>77</v>
      </c>
      <c r="E646" s="3" t="s">
        <v>77</v>
      </c>
      <c r="F646" s="3" t="s">
        <v>635</v>
      </c>
      <c r="G646" s="3" t="s">
        <v>67</v>
      </c>
      <c r="H646" s="3" t="n">
        <v>0.329</v>
      </c>
      <c r="I646" s="13" t="n">
        <f aca="false">IF(G646=E646,1,0)</f>
        <v>0</v>
      </c>
    </row>
    <row r="647" customFormat="false" ht="15.75" hidden="false" customHeight="false" outlineLevel="0" collapsed="false">
      <c r="A647" s="3" t="n">
        <v>648</v>
      </c>
      <c r="B647" s="3" t="s">
        <v>850</v>
      </c>
      <c r="C647" s="3" t="s">
        <v>105</v>
      </c>
      <c r="D647" s="3" t="s">
        <v>61</v>
      </c>
      <c r="E647" s="3" t="s">
        <v>61</v>
      </c>
      <c r="F647" s="3" t="s">
        <v>635</v>
      </c>
      <c r="G647" s="3" t="s">
        <v>69</v>
      </c>
      <c r="H647" s="3" t="n">
        <v>0.325</v>
      </c>
      <c r="I647" s="13" t="n">
        <f aca="false">IF(G647=E647,1,0)</f>
        <v>0</v>
      </c>
    </row>
    <row r="648" customFormat="false" ht="15.75" hidden="false" customHeight="false" outlineLevel="0" collapsed="false">
      <c r="A648" s="3" t="n">
        <v>649</v>
      </c>
      <c r="B648" s="3" t="s">
        <v>851</v>
      </c>
      <c r="C648" s="3" t="s">
        <v>143</v>
      </c>
      <c r="D648" s="3" t="s">
        <v>288</v>
      </c>
      <c r="E648" s="3" t="s">
        <v>288</v>
      </c>
      <c r="F648" s="3" t="s">
        <v>635</v>
      </c>
      <c r="G648" s="3" t="s">
        <v>79</v>
      </c>
      <c r="H648" s="3" t="n">
        <v>0.32</v>
      </c>
      <c r="I648" s="13" t="n">
        <f aca="false">IF(G648=E648,1,0)</f>
        <v>0</v>
      </c>
    </row>
    <row r="649" customFormat="false" ht="15.75" hidden="false" customHeight="false" outlineLevel="0" collapsed="false">
      <c r="A649" s="3" t="n">
        <v>650</v>
      </c>
      <c r="B649" s="3" t="s">
        <v>852</v>
      </c>
      <c r="C649" s="3" t="s">
        <v>105</v>
      </c>
      <c r="D649" s="3" t="s">
        <v>61</v>
      </c>
      <c r="E649" s="3" t="s">
        <v>61</v>
      </c>
      <c r="F649" s="3" t="s">
        <v>635</v>
      </c>
      <c r="G649" s="3" t="s">
        <v>67</v>
      </c>
      <c r="H649" s="3" t="n">
        <v>0.319</v>
      </c>
      <c r="I649" s="13" t="n">
        <f aca="false">IF(G649=E649,1,0)</f>
        <v>0</v>
      </c>
    </row>
    <row r="650" customFormat="false" ht="15.75" hidden="false" customHeight="false" outlineLevel="0" collapsed="false">
      <c r="A650" s="3" t="n">
        <v>651</v>
      </c>
      <c r="B650" s="3" t="s">
        <v>853</v>
      </c>
      <c r="C650" s="3" t="s">
        <v>143</v>
      </c>
      <c r="D650" s="3" t="s">
        <v>589</v>
      </c>
      <c r="E650" s="3" t="s">
        <v>589</v>
      </c>
      <c r="F650" s="3" t="s">
        <v>643</v>
      </c>
      <c r="G650" s="3" t="s">
        <v>83</v>
      </c>
      <c r="H650" s="3" t="n">
        <v>0.314</v>
      </c>
      <c r="I650" s="13" t="n">
        <f aca="false">IF(G650=E650,1,0)</f>
        <v>0</v>
      </c>
    </row>
    <row r="651" customFormat="false" ht="15.75" hidden="false" customHeight="false" outlineLevel="0" collapsed="false">
      <c r="A651" s="3" t="n">
        <v>652</v>
      </c>
      <c r="B651" s="3" t="s">
        <v>854</v>
      </c>
      <c r="C651" s="3" t="s">
        <v>105</v>
      </c>
      <c r="D651" s="3" t="s">
        <v>61</v>
      </c>
      <c r="E651" s="3" t="s">
        <v>61</v>
      </c>
      <c r="F651" s="3" t="s">
        <v>633</v>
      </c>
      <c r="G651" s="3" t="s">
        <v>65</v>
      </c>
      <c r="H651" s="3" t="n">
        <v>0.314</v>
      </c>
      <c r="I651" s="13" t="n">
        <f aca="false">IF(G651=E651,1,0)</f>
        <v>0</v>
      </c>
    </row>
    <row r="652" customFormat="false" ht="15.75" hidden="false" customHeight="false" outlineLevel="0" collapsed="false">
      <c r="A652" s="3" t="n">
        <v>653</v>
      </c>
      <c r="B652" s="3" t="s">
        <v>855</v>
      </c>
      <c r="C652" s="3" t="s">
        <v>105</v>
      </c>
      <c r="D652" s="3" t="s">
        <v>61</v>
      </c>
      <c r="E652" s="3" t="s">
        <v>61</v>
      </c>
      <c r="F652" s="3" t="s">
        <v>643</v>
      </c>
      <c r="G652" s="3" t="s">
        <v>83</v>
      </c>
      <c r="H652" s="3" t="n">
        <v>0.311</v>
      </c>
      <c r="I652" s="13" t="n">
        <f aca="false">IF(G652=E652,1,0)</f>
        <v>0</v>
      </c>
    </row>
    <row r="653" customFormat="false" ht="15.75" hidden="false" customHeight="false" outlineLevel="0" collapsed="false">
      <c r="A653" s="3" t="n">
        <v>654</v>
      </c>
      <c r="B653" s="3" t="s">
        <v>856</v>
      </c>
      <c r="C653" s="3" t="s">
        <v>143</v>
      </c>
      <c r="D653" s="3" t="s">
        <v>351</v>
      </c>
      <c r="E653" s="3" t="s">
        <v>351</v>
      </c>
      <c r="F653" s="3" t="s">
        <v>643</v>
      </c>
      <c r="G653" s="3" t="s">
        <v>83</v>
      </c>
      <c r="H653" s="3" t="n">
        <v>0.311</v>
      </c>
      <c r="I653" s="13" t="n">
        <f aca="false">IF(G653=E653,1,0)</f>
        <v>0</v>
      </c>
    </row>
    <row r="654" customFormat="false" ht="15.75" hidden="false" customHeight="false" outlineLevel="0" collapsed="false">
      <c r="A654" s="3" t="n">
        <v>655</v>
      </c>
      <c r="B654" s="3" t="s">
        <v>857</v>
      </c>
      <c r="C654" s="3" t="s">
        <v>150</v>
      </c>
      <c r="D654" s="3" t="s">
        <v>245</v>
      </c>
      <c r="E654" s="3" t="s">
        <v>83</v>
      </c>
      <c r="F654" s="3" t="s">
        <v>643</v>
      </c>
      <c r="G654" s="3" t="s">
        <v>83</v>
      </c>
      <c r="H654" s="3" t="n">
        <v>0.303</v>
      </c>
      <c r="I654" s="13" t="n">
        <f aca="false">IF(G654=E654,1,0)</f>
        <v>1</v>
      </c>
    </row>
    <row r="655" customFormat="false" ht="15.75" hidden="false" customHeight="false" outlineLevel="0" collapsed="false">
      <c r="A655" s="3" t="n">
        <v>657</v>
      </c>
      <c r="B655" s="3" t="s">
        <v>858</v>
      </c>
      <c r="C655" s="3" t="s">
        <v>143</v>
      </c>
      <c r="D655" s="3" t="s">
        <v>351</v>
      </c>
      <c r="E655" s="3" t="s">
        <v>351</v>
      </c>
      <c r="F655" s="3" t="s">
        <v>633</v>
      </c>
      <c r="G655" s="3" t="s">
        <v>65</v>
      </c>
      <c r="H655" s="3" t="n">
        <v>0.3</v>
      </c>
      <c r="I655" s="13" t="n">
        <f aca="false">IF(G655=E655,1,0)</f>
        <v>0</v>
      </c>
    </row>
    <row r="656" customFormat="false" ht="15.75" hidden="false" customHeight="false" outlineLevel="0" collapsed="false">
      <c r="A656" s="3" t="n">
        <v>658</v>
      </c>
      <c r="B656" s="3" t="s">
        <v>859</v>
      </c>
      <c r="C656" s="3" t="s">
        <v>150</v>
      </c>
      <c r="D656" s="3" t="s">
        <v>254</v>
      </c>
      <c r="E656" s="3" t="s">
        <v>85</v>
      </c>
      <c r="F656" s="3" t="s">
        <v>643</v>
      </c>
      <c r="G656" s="3" t="s">
        <v>85</v>
      </c>
      <c r="H656" s="3" t="n">
        <v>0.298</v>
      </c>
      <c r="I656" s="13" t="n">
        <f aca="false">IF(G656=E656,1,0)</f>
        <v>1</v>
      </c>
    </row>
    <row r="657" customFormat="false" ht="15.75" hidden="false" customHeight="false" outlineLevel="0" collapsed="false">
      <c r="A657" s="3" t="n">
        <v>659</v>
      </c>
      <c r="B657" s="3" t="s">
        <v>860</v>
      </c>
      <c r="C657" s="3" t="s">
        <v>105</v>
      </c>
      <c r="D657" s="3" t="s">
        <v>61</v>
      </c>
      <c r="E657" s="3" t="s">
        <v>61</v>
      </c>
      <c r="F657" s="3" t="s">
        <v>635</v>
      </c>
      <c r="G657" s="3" t="s">
        <v>69</v>
      </c>
      <c r="H657" s="3" t="n">
        <v>0.291</v>
      </c>
      <c r="I657" s="13" t="n">
        <f aca="false">IF(G657=E657,1,0)</f>
        <v>0</v>
      </c>
    </row>
    <row r="658" customFormat="false" ht="15.75" hidden="false" customHeight="false" outlineLevel="0" collapsed="false">
      <c r="A658" s="3" t="n">
        <v>660</v>
      </c>
      <c r="B658" s="3" t="s">
        <v>861</v>
      </c>
      <c r="C658" s="3" t="s">
        <v>143</v>
      </c>
      <c r="D658" s="3" t="s">
        <v>198</v>
      </c>
      <c r="E658" s="3" t="s">
        <v>67</v>
      </c>
      <c r="F658" s="3" t="s">
        <v>643</v>
      </c>
      <c r="G658" s="3" t="s">
        <v>83</v>
      </c>
      <c r="H658" s="3" t="n">
        <v>0.288</v>
      </c>
      <c r="I658" s="13" t="n">
        <f aca="false">IF(G658=E658,1,0)</f>
        <v>0</v>
      </c>
    </row>
    <row r="659" customFormat="false" ht="15.75" hidden="false" customHeight="false" outlineLevel="0" collapsed="false">
      <c r="A659" s="3" t="n">
        <v>661</v>
      </c>
      <c r="B659" s="3" t="s">
        <v>862</v>
      </c>
      <c r="C659" s="3" t="s">
        <v>105</v>
      </c>
      <c r="D659" s="3" t="s">
        <v>61</v>
      </c>
      <c r="E659" s="3" t="s">
        <v>61</v>
      </c>
      <c r="F659" s="3" t="s">
        <v>635</v>
      </c>
      <c r="G659" s="3" t="s">
        <v>69</v>
      </c>
      <c r="H659" s="3" t="n">
        <v>0.285</v>
      </c>
      <c r="I659" s="13" t="n">
        <f aca="false">IF(G659=E659,1,0)</f>
        <v>0</v>
      </c>
    </row>
    <row r="660" customFormat="false" ht="15.75" hidden="false" customHeight="false" outlineLevel="0" collapsed="false">
      <c r="A660" s="3" t="n">
        <v>662</v>
      </c>
      <c r="B660" s="3" t="s">
        <v>863</v>
      </c>
      <c r="C660" s="3" t="s">
        <v>150</v>
      </c>
      <c r="D660" s="3" t="s">
        <v>75</v>
      </c>
      <c r="E660" s="3" t="s">
        <v>75</v>
      </c>
      <c r="F660" s="3" t="s">
        <v>643</v>
      </c>
      <c r="G660" s="3" t="s">
        <v>83</v>
      </c>
      <c r="H660" s="3" t="n">
        <v>0.279</v>
      </c>
      <c r="I660" s="13" t="n">
        <f aca="false">IF(G660=E660,1,0)</f>
        <v>0</v>
      </c>
    </row>
    <row r="661" customFormat="false" ht="15.75" hidden="false" customHeight="false" outlineLevel="0" collapsed="false">
      <c r="A661" s="3" t="n">
        <v>663</v>
      </c>
      <c r="B661" s="3" t="s">
        <v>864</v>
      </c>
      <c r="C661" s="3" t="s">
        <v>105</v>
      </c>
      <c r="D661" s="3" t="s">
        <v>61</v>
      </c>
      <c r="E661" s="3" t="s">
        <v>61</v>
      </c>
      <c r="F661" s="3" t="s">
        <v>635</v>
      </c>
      <c r="G661" s="3" t="s">
        <v>79</v>
      </c>
      <c r="H661" s="3" t="n">
        <v>0.247</v>
      </c>
      <c r="I661" s="13" t="n">
        <f aca="false">IF(G661=E661,1,0)</f>
        <v>0</v>
      </c>
    </row>
    <row r="662" customFormat="false" ht="15.75" hidden="false" customHeight="false" outlineLevel="0" collapsed="false">
      <c r="A662" s="3" t="n">
        <v>664</v>
      </c>
      <c r="B662" s="3" t="s">
        <v>865</v>
      </c>
      <c r="C662" s="3" t="s">
        <v>105</v>
      </c>
      <c r="D662" s="3" t="s">
        <v>61</v>
      </c>
      <c r="E662" s="3" t="s">
        <v>61</v>
      </c>
      <c r="F662" s="3" t="s">
        <v>643</v>
      </c>
      <c r="G662" s="3" t="s">
        <v>57</v>
      </c>
      <c r="H662" s="3" t="n">
        <v>0.24</v>
      </c>
      <c r="I662" s="13" t="n">
        <f aca="false">IF(G662=E662,1,0)</f>
        <v>0</v>
      </c>
    </row>
    <row r="663" customFormat="false" ht="15.75" hidden="false" customHeight="false" outlineLevel="0" collapsed="false">
      <c r="A663" s="3" t="n">
        <v>665</v>
      </c>
      <c r="B663" s="3" t="s">
        <v>866</v>
      </c>
      <c r="C663" s="3" t="s">
        <v>143</v>
      </c>
      <c r="D663" s="3" t="s">
        <v>198</v>
      </c>
      <c r="E663" s="3" t="s">
        <v>67</v>
      </c>
      <c r="F663" s="3" t="s">
        <v>635</v>
      </c>
      <c r="G663" s="3" t="s">
        <v>69</v>
      </c>
      <c r="H663" s="3" t="n">
        <v>0.23</v>
      </c>
      <c r="I663" s="13" t="n">
        <f aca="false">IF(G663=E663,1,0)</f>
        <v>0</v>
      </c>
    </row>
    <row r="664" customFormat="false" ht="15.75" hidden="false" customHeight="false" outlineLevel="0" collapsed="false">
      <c r="A664" s="3" t="n">
        <v>666</v>
      </c>
      <c r="B664" s="3" t="s">
        <v>867</v>
      </c>
      <c r="C664" s="3" t="s">
        <v>105</v>
      </c>
      <c r="D664" s="3" t="s">
        <v>61</v>
      </c>
      <c r="E664" s="3" t="s">
        <v>61</v>
      </c>
      <c r="F664" s="3" t="s">
        <v>638</v>
      </c>
      <c r="G664" s="3" t="s">
        <v>77</v>
      </c>
      <c r="H664" s="3" t="n">
        <v>0.229</v>
      </c>
      <c r="I664" s="13" t="n">
        <f aca="false">IF(G664=E664,1,0)</f>
        <v>0</v>
      </c>
    </row>
    <row r="665" customFormat="false" ht="15.75" hidden="false" customHeight="false" outlineLevel="0" collapsed="false">
      <c r="A665" s="3" t="n">
        <v>667</v>
      </c>
      <c r="B665" s="3" t="s">
        <v>868</v>
      </c>
      <c r="C665" s="3" t="s">
        <v>105</v>
      </c>
      <c r="D665" s="3" t="s">
        <v>77</v>
      </c>
      <c r="E665" s="3" t="s">
        <v>77</v>
      </c>
      <c r="F665" s="3" t="s">
        <v>638</v>
      </c>
      <c r="G665" s="3" t="s">
        <v>77</v>
      </c>
      <c r="H665" s="3" t="n">
        <v>0.226</v>
      </c>
      <c r="I665" s="13" t="n">
        <f aca="false">IF(G665=E665,1,0)</f>
        <v>1</v>
      </c>
    </row>
    <row r="666" customFormat="false" ht="15.75" hidden="false" customHeight="false" outlineLevel="0" collapsed="false">
      <c r="A666" s="3" t="n">
        <v>668</v>
      </c>
      <c r="B666" s="3" t="s">
        <v>869</v>
      </c>
      <c r="C666" s="3" t="s">
        <v>143</v>
      </c>
      <c r="D666" s="3" t="s">
        <v>198</v>
      </c>
      <c r="E666" s="3" t="s">
        <v>67</v>
      </c>
      <c r="F666" s="3" t="s">
        <v>638</v>
      </c>
      <c r="G666" s="3" t="s">
        <v>77</v>
      </c>
      <c r="H666" s="3" t="n">
        <v>0.191</v>
      </c>
      <c r="I666" s="13" t="n">
        <f aca="false">IF(G666=E666,1,0)</f>
        <v>0</v>
      </c>
    </row>
  </sheetData>
  <mergeCells count="1">
    <mergeCell ref="B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25.66"/>
    <col collapsed="false" customWidth="true" hidden="false" outlineLevel="0" max="1024" min="2" style="0" width="12.64"/>
  </cols>
  <sheetData>
    <row r="1" customFormat="false" ht="13.8" hidden="false" customHeight="false" outlineLevel="0" collapsed="false">
      <c r="A1" s="11" t="s">
        <v>98</v>
      </c>
      <c r="B1" s="11"/>
      <c r="C1" s="11"/>
      <c r="D1" s="22" t="s">
        <v>870</v>
      </c>
      <c r="E1" s="22"/>
      <c r="F1" s="22"/>
      <c r="G1" s="3" t="s">
        <v>871</v>
      </c>
      <c r="I1" s="12"/>
      <c r="J1" s="23"/>
      <c r="K1" s="24" t="s">
        <v>872</v>
      </c>
      <c r="L1" s="24" t="s">
        <v>873</v>
      </c>
    </row>
    <row r="2" customFormat="false" ht="13.8" hidden="false" customHeight="false" outlineLevel="0" collapsed="false">
      <c r="A2" s="3" t="s">
        <v>104</v>
      </c>
      <c r="B2" s="3" t="s">
        <v>105</v>
      </c>
      <c r="C2" s="3" t="s">
        <v>61</v>
      </c>
      <c r="D2" s="25" t="s">
        <v>874</v>
      </c>
      <c r="E2" s="3" t="s">
        <v>105</v>
      </c>
      <c r="F2" s="3" t="s">
        <v>61</v>
      </c>
      <c r="K2" s="13" t="n">
        <f aca="false">IF(E2=B2,1,0)</f>
        <v>1</v>
      </c>
      <c r="L2" s="13" t="n">
        <f aca="false">IF(F2=C2,1,0)</f>
        <v>1</v>
      </c>
      <c r="N2" s="4" t="s">
        <v>107</v>
      </c>
      <c r="O2" s="17"/>
      <c r="P2" s="8" t="s">
        <v>108</v>
      </c>
    </row>
    <row r="3" customFormat="false" ht="13.8" hidden="false" customHeight="false" outlineLevel="0" collapsed="false">
      <c r="A3" s="3" t="s">
        <v>171</v>
      </c>
      <c r="B3" s="3" t="s">
        <v>105</v>
      </c>
      <c r="C3" s="3" t="s">
        <v>61</v>
      </c>
      <c r="D3" s="25" t="s">
        <v>874</v>
      </c>
      <c r="E3" s="3" t="s">
        <v>875</v>
      </c>
      <c r="K3" s="13" t="n">
        <f aca="false">IF(E3=B3,1,0)</f>
        <v>0</v>
      </c>
      <c r="N3" s="18" t="n">
        <f aca="false">AVERAGE(K2:K76)</f>
        <v>0.5254237288</v>
      </c>
      <c r="O3" s="3" t="s">
        <v>111</v>
      </c>
      <c r="P3" s="18" t="n">
        <f aca="false">COUNT(K$2:K$76)/COUNTA($A$2:$A$76)</f>
        <v>0.7866666667</v>
      </c>
    </row>
    <row r="4" customFormat="false" ht="13.8" hidden="false" customHeight="false" outlineLevel="0" collapsed="false">
      <c r="A4" s="3" t="s">
        <v>138</v>
      </c>
      <c r="B4" s="3" t="s">
        <v>105</v>
      </c>
      <c r="C4" s="3" t="s">
        <v>61</v>
      </c>
      <c r="D4" s="25" t="s">
        <v>874</v>
      </c>
      <c r="E4" s="3"/>
      <c r="F4" s="3"/>
      <c r="N4" s="18" t="n">
        <f aca="false">AVERAGE(L2:L76)</f>
        <v>0.4545454545</v>
      </c>
      <c r="O4" s="3" t="s">
        <v>114</v>
      </c>
      <c r="P4" s="18" t="n">
        <f aca="false">COUNT(L$2:L$76)/COUNTA($A$2:$A$76)</f>
        <v>0.2933333333</v>
      </c>
    </row>
    <row r="5" customFormat="false" ht="13.8" hidden="false" customHeight="false" outlineLevel="0" collapsed="false">
      <c r="A5" s="3" t="s">
        <v>125</v>
      </c>
      <c r="B5" s="3" t="s">
        <v>105</v>
      </c>
      <c r="C5" s="3" t="s">
        <v>55</v>
      </c>
      <c r="D5" s="25" t="s">
        <v>874</v>
      </c>
      <c r="E5" s="3"/>
      <c r="F5" s="3"/>
    </row>
    <row r="6" customFormat="false" ht="13.8" hidden="false" customHeight="false" outlineLevel="0" collapsed="false">
      <c r="A6" s="3" t="s">
        <v>139</v>
      </c>
      <c r="B6" s="3" t="s">
        <v>105</v>
      </c>
      <c r="C6" s="3" t="s">
        <v>55</v>
      </c>
      <c r="D6" s="25" t="s">
        <v>874</v>
      </c>
      <c r="E6" s="3" t="s">
        <v>876</v>
      </c>
      <c r="K6" s="13" t="n">
        <f aca="false">IF(E6=B6,1,0)</f>
        <v>0</v>
      </c>
    </row>
    <row r="7" customFormat="false" ht="13.8" hidden="false" customHeight="false" outlineLevel="0" collapsed="false">
      <c r="A7" s="3" t="s">
        <v>152</v>
      </c>
      <c r="B7" s="3" t="s">
        <v>150</v>
      </c>
      <c r="C7" s="3" t="s">
        <v>154</v>
      </c>
      <c r="D7" s="25" t="s">
        <v>877</v>
      </c>
      <c r="E7" s="3" t="s">
        <v>150</v>
      </c>
      <c r="F7" s="3" t="s">
        <v>63</v>
      </c>
      <c r="K7" s="13" t="n">
        <f aca="false">IF(E7=B7,1,0)</f>
        <v>1</v>
      </c>
      <c r="L7" s="13" t="n">
        <f aca="false">IF(F7=C7,1,0)</f>
        <v>0</v>
      </c>
    </row>
    <row r="8" customFormat="false" ht="13.8" hidden="false" customHeight="false" outlineLevel="0" collapsed="false">
      <c r="A8" s="3" t="s">
        <v>140</v>
      </c>
      <c r="B8" s="3" t="s">
        <v>105</v>
      </c>
      <c r="C8" s="3" t="s">
        <v>61</v>
      </c>
      <c r="D8" s="25" t="s">
        <v>874</v>
      </c>
      <c r="E8" s="3" t="s">
        <v>143</v>
      </c>
      <c r="K8" s="13" t="n">
        <f aca="false">IF(E8=B8,1,0)</f>
        <v>0</v>
      </c>
    </row>
    <row r="9" customFormat="false" ht="13.8" hidden="false" customHeight="false" outlineLevel="0" collapsed="false">
      <c r="A9" s="3" t="s">
        <v>158</v>
      </c>
      <c r="B9" s="3" t="s">
        <v>105</v>
      </c>
      <c r="C9" s="3" t="s">
        <v>61</v>
      </c>
      <c r="D9" s="25" t="s">
        <v>874</v>
      </c>
      <c r="E9" s="3" t="s">
        <v>875</v>
      </c>
      <c r="K9" s="13" t="n">
        <f aca="false">IF(E9=B9,1,0)</f>
        <v>0</v>
      </c>
    </row>
    <row r="10" customFormat="false" ht="13.8" hidden="false" customHeight="false" outlineLevel="0" collapsed="false">
      <c r="A10" s="3" t="s">
        <v>109</v>
      </c>
      <c r="B10" s="3" t="s">
        <v>105</v>
      </c>
      <c r="C10" s="3" t="s">
        <v>61</v>
      </c>
      <c r="D10" s="25" t="s">
        <v>874</v>
      </c>
      <c r="E10" s="3"/>
      <c r="F10" s="3"/>
    </row>
    <row r="11" customFormat="false" ht="13.8" hidden="false" customHeight="false" outlineLevel="0" collapsed="false">
      <c r="A11" s="3" t="s">
        <v>172</v>
      </c>
      <c r="B11" s="3" t="s">
        <v>105</v>
      </c>
      <c r="C11" s="3" t="s">
        <v>61</v>
      </c>
      <c r="D11" s="25" t="s">
        <v>874</v>
      </c>
      <c r="E11" s="3" t="s">
        <v>105</v>
      </c>
      <c r="F11" s="3" t="s">
        <v>61</v>
      </c>
      <c r="K11" s="13" t="n">
        <f aca="false">IF(E11=B11,1,0)</f>
        <v>1</v>
      </c>
      <c r="L11" s="13" t="n">
        <f aca="false">IF(F11=C11,1,0)</f>
        <v>1</v>
      </c>
    </row>
    <row r="12" customFormat="false" ht="13.8" hidden="false" customHeight="false" outlineLevel="0" collapsed="false">
      <c r="A12" s="3" t="s">
        <v>119</v>
      </c>
      <c r="B12" s="3" t="s">
        <v>105</v>
      </c>
      <c r="C12" s="3" t="s">
        <v>55</v>
      </c>
      <c r="D12" s="25" t="s">
        <v>874</v>
      </c>
      <c r="E12" s="3" t="s">
        <v>143</v>
      </c>
      <c r="K12" s="13" t="n">
        <f aca="false">IF(E12=B12,1,0)</f>
        <v>0</v>
      </c>
    </row>
    <row r="13" customFormat="false" ht="13.8" hidden="false" customHeight="false" outlineLevel="0" collapsed="false">
      <c r="A13" s="3" t="s">
        <v>188</v>
      </c>
      <c r="B13" s="3" t="s">
        <v>133</v>
      </c>
      <c r="C13" s="3" t="s">
        <v>65</v>
      </c>
      <c r="D13" s="25" t="s">
        <v>877</v>
      </c>
      <c r="E13" s="3" t="s">
        <v>150</v>
      </c>
      <c r="F13" s="3" t="s">
        <v>63</v>
      </c>
      <c r="K13" s="13" t="n">
        <f aca="false">IF(E13=B13,1,0)</f>
        <v>0</v>
      </c>
      <c r="L13" s="13" t="n">
        <f aca="false">IF(F13=C13,1,0)</f>
        <v>0</v>
      </c>
    </row>
    <row r="14" customFormat="false" ht="13.8" hidden="false" customHeight="false" outlineLevel="0" collapsed="false">
      <c r="A14" s="3" t="s">
        <v>122</v>
      </c>
      <c r="B14" s="3" t="s">
        <v>105</v>
      </c>
      <c r="C14" s="3" t="s">
        <v>61</v>
      </c>
      <c r="D14" s="25" t="s">
        <v>874</v>
      </c>
      <c r="E14" s="3" t="s">
        <v>876</v>
      </c>
      <c r="K14" s="13" t="n">
        <f aca="false">IF(E14=B14,1,0)</f>
        <v>0</v>
      </c>
    </row>
    <row r="15" customFormat="false" ht="13.8" hidden="false" customHeight="false" outlineLevel="0" collapsed="false">
      <c r="A15" s="3" t="s">
        <v>173</v>
      </c>
      <c r="B15" s="3" t="s">
        <v>105</v>
      </c>
      <c r="C15" s="3" t="s">
        <v>61</v>
      </c>
      <c r="D15" s="25" t="s">
        <v>874</v>
      </c>
      <c r="E15" s="3" t="s">
        <v>876</v>
      </c>
      <c r="K15" s="13" t="n">
        <f aca="false">IF(E15=B15,1,0)</f>
        <v>0</v>
      </c>
    </row>
    <row r="16" customFormat="false" ht="13.8" hidden="false" customHeight="false" outlineLevel="0" collapsed="false">
      <c r="A16" s="3" t="s">
        <v>177</v>
      </c>
      <c r="B16" s="3" t="s">
        <v>105</v>
      </c>
      <c r="C16" s="3" t="s">
        <v>61</v>
      </c>
      <c r="D16" s="25" t="s">
        <v>874</v>
      </c>
      <c r="E16" s="3"/>
      <c r="F16" s="3"/>
    </row>
    <row r="17" customFormat="false" ht="13.8" hidden="false" customHeight="false" outlineLevel="0" collapsed="false">
      <c r="A17" s="3" t="s">
        <v>168</v>
      </c>
      <c r="B17" s="3" t="s">
        <v>105</v>
      </c>
      <c r="C17" s="3" t="s">
        <v>61</v>
      </c>
      <c r="D17" s="25" t="s">
        <v>874</v>
      </c>
      <c r="E17" s="3" t="s">
        <v>143</v>
      </c>
      <c r="K17" s="13" t="n">
        <f aca="false">IF(E17=B17,1,0)</f>
        <v>0</v>
      </c>
    </row>
    <row r="18" customFormat="false" ht="13.8" hidden="false" customHeight="false" outlineLevel="0" collapsed="false">
      <c r="A18" s="3" t="s">
        <v>112</v>
      </c>
      <c r="B18" s="3" t="s">
        <v>105</v>
      </c>
      <c r="C18" s="3" t="s">
        <v>61</v>
      </c>
      <c r="D18" s="25" t="s">
        <v>874</v>
      </c>
      <c r="E18" s="3" t="s">
        <v>876</v>
      </c>
      <c r="K18" s="13" t="n">
        <f aca="false">IF(E18=B18,1,0)</f>
        <v>0</v>
      </c>
    </row>
    <row r="19" customFormat="false" ht="13.8" hidden="false" customHeight="false" outlineLevel="0" collapsed="false">
      <c r="A19" s="3" t="s">
        <v>148</v>
      </c>
      <c r="B19" s="3" t="s">
        <v>105</v>
      </c>
      <c r="C19" s="3" t="s">
        <v>61</v>
      </c>
      <c r="D19" s="25" t="s">
        <v>874</v>
      </c>
      <c r="E19" s="3"/>
    </row>
    <row r="20" customFormat="false" ht="13.8" hidden="false" customHeight="false" outlineLevel="0" collapsed="false">
      <c r="A20" s="3" t="s">
        <v>120</v>
      </c>
      <c r="B20" s="3" t="s">
        <v>105</v>
      </c>
      <c r="C20" s="3" t="s">
        <v>61</v>
      </c>
      <c r="D20" s="25" t="s">
        <v>874</v>
      </c>
      <c r="E20" s="3" t="s">
        <v>876</v>
      </c>
      <c r="K20" s="13" t="n">
        <f aca="false">IF(E20=B20,1,0)</f>
        <v>0</v>
      </c>
    </row>
    <row r="21" customFormat="false" ht="13.8" hidden="false" customHeight="false" outlineLevel="0" collapsed="false">
      <c r="A21" s="3" t="s">
        <v>161</v>
      </c>
      <c r="B21" s="3" t="s">
        <v>105</v>
      </c>
      <c r="C21" s="3" t="s">
        <v>61</v>
      </c>
      <c r="D21" s="25" t="s">
        <v>874</v>
      </c>
      <c r="E21" s="3"/>
      <c r="F21" s="3"/>
    </row>
    <row r="22" customFormat="false" ht="13.8" hidden="false" customHeight="false" outlineLevel="0" collapsed="false">
      <c r="A22" s="3" t="s">
        <v>155</v>
      </c>
      <c r="B22" s="3" t="s">
        <v>105</v>
      </c>
      <c r="C22" s="3" t="s">
        <v>55</v>
      </c>
      <c r="D22" s="25" t="s">
        <v>874</v>
      </c>
      <c r="E22" s="3" t="s">
        <v>143</v>
      </c>
      <c r="K22" s="13" t="n">
        <f aca="false">IF(E22=B22,1,0)</f>
        <v>0</v>
      </c>
    </row>
    <row r="23" customFormat="false" ht="13.8" hidden="false" customHeight="false" outlineLevel="0" collapsed="false">
      <c r="A23" s="3" t="s">
        <v>169</v>
      </c>
      <c r="B23" s="3" t="s">
        <v>105</v>
      </c>
      <c r="C23" s="3" t="s">
        <v>61</v>
      </c>
      <c r="D23" s="25" t="s">
        <v>874</v>
      </c>
      <c r="E23" s="3" t="s">
        <v>876</v>
      </c>
      <c r="K23" s="13" t="n">
        <f aca="false">IF(E23=B23,1,0)</f>
        <v>0</v>
      </c>
    </row>
    <row r="24" customFormat="false" ht="13.8" hidden="false" customHeight="false" outlineLevel="0" collapsed="false">
      <c r="A24" s="3" t="s">
        <v>145</v>
      </c>
      <c r="B24" s="3" t="s">
        <v>105</v>
      </c>
      <c r="C24" s="3" t="s">
        <v>61</v>
      </c>
      <c r="D24" s="25" t="s">
        <v>874</v>
      </c>
      <c r="E24" s="3"/>
      <c r="F24" s="3"/>
    </row>
    <row r="25" customFormat="false" ht="13.8" hidden="false" customHeight="false" outlineLevel="0" collapsed="false">
      <c r="A25" s="3" t="s">
        <v>127</v>
      </c>
      <c r="B25" s="3" t="s">
        <v>105</v>
      </c>
      <c r="C25" s="3" t="s">
        <v>61</v>
      </c>
      <c r="D25" s="25" t="s">
        <v>874</v>
      </c>
      <c r="E25" s="3" t="s">
        <v>875</v>
      </c>
      <c r="K25" s="13" t="n">
        <f aca="false">IF(E25=B25,1,0)</f>
        <v>0</v>
      </c>
    </row>
    <row r="26" customFormat="false" ht="13.8" hidden="false" customHeight="false" outlineLevel="0" collapsed="false">
      <c r="A26" s="3" t="s">
        <v>128</v>
      </c>
      <c r="B26" s="3" t="s">
        <v>105</v>
      </c>
      <c r="C26" s="3" t="s">
        <v>55</v>
      </c>
      <c r="D26" s="25" t="s">
        <v>874</v>
      </c>
      <c r="E26" s="3" t="s">
        <v>143</v>
      </c>
      <c r="K26" s="13" t="n">
        <f aca="false">IF(E26=B26,1,0)</f>
        <v>0</v>
      </c>
    </row>
    <row r="27" customFormat="false" ht="13.8" hidden="false" customHeight="false" outlineLevel="0" collapsed="false">
      <c r="A27" s="3" t="s">
        <v>115</v>
      </c>
      <c r="B27" s="3" t="s">
        <v>105</v>
      </c>
      <c r="C27" s="3" t="s">
        <v>55</v>
      </c>
      <c r="D27" s="25" t="s">
        <v>874</v>
      </c>
      <c r="E27" s="3"/>
      <c r="F27" s="3"/>
    </row>
    <row r="28" customFormat="false" ht="13.8" hidden="false" customHeight="false" outlineLevel="0" collapsed="false">
      <c r="A28" s="3" t="s">
        <v>116</v>
      </c>
      <c r="B28" s="3" t="s">
        <v>105</v>
      </c>
      <c r="C28" s="3" t="s">
        <v>55</v>
      </c>
      <c r="D28" s="25" t="s">
        <v>877</v>
      </c>
      <c r="E28" s="3" t="s">
        <v>150</v>
      </c>
      <c r="F28" s="3" t="s">
        <v>83</v>
      </c>
      <c r="K28" s="13" t="n">
        <f aca="false">IF(E28=B28,1,0)</f>
        <v>0</v>
      </c>
      <c r="L28" s="13" t="n">
        <f aca="false">IF(F28=C28,1,0)</f>
        <v>0</v>
      </c>
    </row>
    <row r="29" customFormat="false" ht="13.8" hidden="false" customHeight="false" outlineLevel="0" collapsed="false">
      <c r="A29" s="3" t="s">
        <v>126</v>
      </c>
      <c r="B29" s="3" t="s">
        <v>105</v>
      </c>
      <c r="C29" s="3" t="s">
        <v>61</v>
      </c>
      <c r="D29" s="25" t="s">
        <v>874</v>
      </c>
      <c r="E29" s="3"/>
      <c r="F29" s="3"/>
    </row>
    <row r="30" customFormat="false" ht="13.8" hidden="false" customHeight="false" outlineLevel="0" collapsed="false">
      <c r="A30" s="3" t="s">
        <v>156</v>
      </c>
      <c r="B30" s="3" t="s">
        <v>105</v>
      </c>
      <c r="C30" s="3" t="s">
        <v>55</v>
      </c>
      <c r="D30" s="25" t="s">
        <v>878</v>
      </c>
      <c r="E30" s="3"/>
      <c r="F30" s="3"/>
    </row>
    <row r="31" customFormat="false" ht="13.8" hidden="false" customHeight="false" outlineLevel="0" collapsed="false">
      <c r="A31" s="3" t="s">
        <v>147</v>
      </c>
      <c r="B31" s="3" t="s">
        <v>105</v>
      </c>
      <c r="C31" s="3" t="s">
        <v>61</v>
      </c>
      <c r="D31" s="25" t="s">
        <v>874</v>
      </c>
      <c r="E31" s="3"/>
      <c r="F31" s="3"/>
    </row>
    <row r="32" customFormat="false" ht="13.8" hidden="false" customHeight="false" outlineLevel="0" collapsed="false">
      <c r="A32" s="3" t="s">
        <v>121</v>
      </c>
      <c r="B32" s="3" t="s">
        <v>105</v>
      </c>
      <c r="C32" s="3" t="s">
        <v>55</v>
      </c>
      <c r="D32" s="25" t="s">
        <v>877</v>
      </c>
      <c r="E32" s="3" t="s">
        <v>879</v>
      </c>
      <c r="F32" s="3"/>
      <c r="K32" s="13" t="n">
        <f aca="false">IF(E32=B32,1,0)</f>
        <v>0</v>
      </c>
    </row>
    <row r="33" customFormat="false" ht="13.8" hidden="false" customHeight="false" outlineLevel="0" collapsed="false">
      <c r="A33" s="3" t="s">
        <v>167</v>
      </c>
      <c r="B33" s="3" t="s">
        <v>105</v>
      </c>
      <c r="C33" s="3" t="s">
        <v>55</v>
      </c>
      <c r="D33" s="25" t="s">
        <v>874</v>
      </c>
      <c r="E33" s="3" t="s">
        <v>143</v>
      </c>
      <c r="K33" s="13" t="n">
        <f aca="false">IF(E33=B33,1,0)</f>
        <v>0</v>
      </c>
    </row>
    <row r="34" customFormat="false" ht="13.8" hidden="false" customHeight="false" outlineLevel="0" collapsed="false">
      <c r="A34" s="3" t="s">
        <v>176</v>
      </c>
      <c r="B34" s="3" t="s">
        <v>105</v>
      </c>
      <c r="C34" s="3" t="s">
        <v>55</v>
      </c>
      <c r="D34" s="25" t="s">
        <v>874</v>
      </c>
      <c r="E34" s="3"/>
      <c r="F34" s="3"/>
    </row>
    <row r="35" customFormat="false" ht="13.8" hidden="false" customHeight="false" outlineLevel="0" collapsed="false">
      <c r="A35" s="3" t="s">
        <v>189</v>
      </c>
      <c r="B35" s="3" t="s">
        <v>105</v>
      </c>
      <c r="C35" s="3" t="s">
        <v>55</v>
      </c>
      <c r="D35" s="25" t="s">
        <v>874</v>
      </c>
      <c r="E35" s="3"/>
      <c r="F35" s="3"/>
    </row>
    <row r="36" customFormat="false" ht="13.8" hidden="false" customHeight="false" outlineLevel="0" collapsed="false">
      <c r="A36" s="3" t="s">
        <v>187</v>
      </c>
      <c r="B36" s="3" t="s">
        <v>105</v>
      </c>
      <c r="C36" s="3" t="s">
        <v>55</v>
      </c>
      <c r="D36" s="25" t="s">
        <v>874</v>
      </c>
      <c r="E36" s="3" t="s">
        <v>143</v>
      </c>
      <c r="K36" s="13" t="n">
        <f aca="false">IF(E36=B36,1,0)</f>
        <v>0</v>
      </c>
    </row>
    <row r="37" customFormat="false" ht="13.8" hidden="false" customHeight="false" outlineLevel="0" collapsed="false">
      <c r="A37" s="3" t="s">
        <v>136</v>
      </c>
      <c r="B37" s="3" t="s">
        <v>105</v>
      </c>
      <c r="C37" s="3" t="s">
        <v>55</v>
      </c>
      <c r="D37" s="25" t="s">
        <v>874</v>
      </c>
      <c r="E37" s="3"/>
      <c r="F37" s="3"/>
    </row>
    <row r="38" customFormat="false" ht="13.8" hidden="false" customHeight="false" outlineLevel="0" collapsed="false">
      <c r="A38" s="3" t="s">
        <v>181</v>
      </c>
      <c r="B38" s="3" t="s">
        <v>143</v>
      </c>
      <c r="C38" s="3" t="s">
        <v>160</v>
      </c>
      <c r="D38" s="25" t="s">
        <v>874</v>
      </c>
      <c r="E38" s="3"/>
      <c r="F38" s="3"/>
    </row>
    <row r="39" customFormat="false" ht="13.8" hidden="false" customHeight="false" outlineLevel="0" collapsed="false">
      <c r="A39" s="3" t="s">
        <v>157</v>
      </c>
      <c r="B39" s="3" t="s">
        <v>105</v>
      </c>
      <c r="C39" s="3" t="s">
        <v>55</v>
      </c>
      <c r="D39" s="25" t="s">
        <v>874</v>
      </c>
      <c r="E39" s="3" t="s">
        <v>105</v>
      </c>
      <c r="F39" s="3"/>
      <c r="K39" s="13" t="n">
        <f aca="false">IF(E39=B39,1,0)</f>
        <v>1</v>
      </c>
    </row>
    <row r="40" customFormat="false" ht="13.8" hidden="false" customHeight="false" outlineLevel="0" collapsed="false">
      <c r="A40" s="3" t="s">
        <v>149</v>
      </c>
      <c r="B40" s="3" t="s">
        <v>150</v>
      </c>
      <c r="C40" s="3" t="s">
        <v>63</v>
      </c>
      <c r="D40" s="25" t="s">
        <v>874</v>
      </c>
      <c r="E40" s="3" t="s">
        <v>105</v>
      </c>
      <c r="F40" s="3" t="s">
        <v>55</v>
      </c>
      <c r="K40" s="13" t="n">
        <f aca="false">IF(E40=B40,1,0)</f>
        <v>0</v>
      </c>
      <c r="L40" s="13" t="n">
        <f aca="false">IF(F40=C40,1,0)</f>
        <v>0</v>
      </c>
    </row>
    <row r="41" customFormat="false" ht="13.8" hidden="false" customHeight="false" outlineLevel="0" collapsed="false">
      <c r="A41" s="3" t="s">
        <v>134</v>
      </c>
      <c r="B41" s="3" t="s">
        <v>105</v>
      </c>
      <c r="C41" s="3" t="s">
        <v>61</v>
      </c>
      <c r="D41" s="25" t="s">
        <v>874</v>
      </c>
      <c r="E41" s="3" t="s">
        <v>105</v>
      </c>
      <c r="F41" s="3"/>
      <c r="K41" s="13" t="n">
        <f aca="false">IF(E41=B41,1,0)</f>
        <v>1</v>
      </c>
    </row>
    <row r="42" customFormat="false" ht="13.8" hidden="false" customHeight="false" outlineLevel="0" collapsed="false">
      <c r="A42" s="3" t="s">
        <v>166</v>
      </c>
      <c r="B42" s="3" t="s">
        <v>150</v>
      </c>
      <c r="C42" s="3" t="s">
        <v>154</v>
      </c>
      <c r="D42" s="25" t="s">
        <v>874</v>
      </c>
      <c r="E42" s="3" t="s">
        <v>105</v>
      </c>
      <c r="F42" s="3"/>
      <c r="K42" s="13" t="n">
        <f aca="false">IF(E42=B42,1,0)</f>
        <v>0</v>
      </c>
    </row>
    <row r="43" customFormat="false" ht="13.8" hidden="false" customHeight="false" outlineLevel="0" collapsed="false">
      <c r="A43" s="3" t="s">
        <v>186</v>
      </c>
      <c r="B43" s="3" t="s">
        <v>143</v>
      </c>
      <c r="C43" s="3" t="s">
        <v>160</v>
      </c>
      <c r="D43" s="25" t="s">
        <v>874</v>
      </c>
      <c r="E43" s="3" t="s">
        <v>143</v>
      </c>
      <c r="K43" s="13" t="n">
        <f aca="false">IF(E43=B43,1,0)</f>
        <v>1</v>
      </c>
    </row>
    <row r="44" customFormat="false" ht="13.8" hidden="false" customHeight="false" outlineLevel="0" collapsed="false">
      <c r="A44" s="3" t="s">
        <v>174</v>
      </c>
      <c r="B44" s="3" t="s">
        <v>105</v>
      </c>
      <c r="C44" s="3" t="s">
        <v>61</v>
      </c>
      <c r="D44" s="25" t="s">
        <v>874</v>
      </c>
      <c r="E44" s="3" t="s">
        <v>105</v>
      </c>
      <c r="F44" s="3" t="s">
        <v>61</v>
      </c>
      <c r="K44" s="13" t="n">
        <f aca="false">IF(E44=B44,1,0)</f>
        <v>1</v>
      </c>
      <c r="L44" s="13" t="n">
        <f aca="false">IF(F44=C44,1,0)</f>
        <v>1</v>
      </c>
    </row>
    <row r="45" customFormat="false" ht="13.8" hidden="false" customHeight="false" outlineLevel="0" collapsed="false">
      <c r="A45" s="3" t="s">
        <v>185</v>
      </c>
      <c r="B45" s="3" t="s">
        <v>105</v>
      </c>
      <c r="C45" s="3" t="s">
        <v>55</v>
      </c>
      <c r="D45" s="25" t="s">
        <v>874</v>
      </c>
      <c r="E45" s="3" t="s">
        <v>105</v>
      </c>
      <c r="F45" s="3"/>
      <c r="K45" s="13" t="n">
        <f aca="false">IF(E45=B45,1,0)</f>
        <v>1</v>
      </c>
    </row>
    <row r="46" customFormat="false" ht="13.8" hidden="false" customHeight="false" outlineLevel="0" collapsed="false">
      <c r="A46" s="3" t="s">
        <v>118</v>
      </c>
      <c r="B46" s="3" t="s">
        <v>105</v>
      </c>
      <c r="C46" s="3" t="s">
        <v>55</v>
      </c>
      <c r="D46" s="25" t="s">
        <v>874</v>
      </c>
      <c r="E46" s="3" t="s">
        <v>105</v>
      </c>
      <c r="F46" s="3"/>
      <c r="K46" s="13" t="n">
        <f aca="false">IF(E46=B46,1,0)</f>
        <v>1</v>
      </c>
    </row>
    <row r="47" customFormat="false" ht="13.8" hidden="false" customHeight="false" outlineLevel="0" collapsed="false">
      <c r="A47" s="3" t="s">
        <v>142</v>
      </c>
      <c r="B47" s="3" t="s">
        <v>105</v>
      </c>
      <c r="C47" s="3" t="s">
        <v>61</v>
      </c>
      <c r="D47" s="25" t="s">
        <v>874</v>
      </c>
      <c r="E47" s="3" t="s">
        <v>105</v>
      </c>
      <c r="F47" s="3"/>
      <c r="K47" s="13" t="n">
        <f aca="false">IF(E47=B47,1,0)</f>
        <v>1</v>
      </c>
    </row>
    <row r="48" customFormat="false" ht="13.8" hidden="false" customHeight="false" outlineLevel="0" collapsed="false">
      <c r="A48" s="3" t="s">
        <v>178</v>
      </c>
      <c r="B48" s="3" t="s">
        <v>105</v>
      </c>
      <c r="C48" s="3" t="s">
        <v>61</v>
      </c>
      <c r="D48" s="25" t="s">
        <v>874</v>
      </c>
      <c r="E48" s="3" t="s">
        <v>105</v>
      </c>
      <c r="F48" s="3" t="s">
        <v>61</v>
      </c>
      <c r="K48" s="13" t="n">
        <f aca="false">IF(E48=B48,1,0)</f>
        <v>1</v>
      </c>
      <c r="L48" s="13" t="n">
        <f aca="false">IF(F48=C48,1,0)</f>
        <v>1</v>
      </c>
    </row>
    <row r="49" customFormat="false" ht="13.8" hidden="false" customHeight="false" outlineLevel="0" collapsed="false">
      <c r="A49" s="3" t="s">
        <v>129</v>
      </c>
      <c r="B49" s="3" t="s">
        <v>105</v>
      </c>
      <c r="C49" s="3" t="s">
        <v>61</v>
      </c>
      <c r="D49" s="25" t="s">
        <v>874</v>
      </c>
      <c r="E49" s="3" t="s">
        <v>105</v>
      </c>
      <c r="F49" s="3" t="s">
        <v>55</v>
      </c>
      <c r="K49" s="13" t="n">
        <f aca="false">IF(E49=B49,1,0)</f>
        <v>1</v>
      </c>
      <c r="L49" s="13" t="n">
        <f aca="false">IF(F49=C49,1,0)</f>
        <v>0</v>
      </c>
    </row>
    <row r="50" customFormat="false" ht="13.8" hidden="false" customHeight="false" outlineLevel="0" collapsed="false">
      <c r="A50" s="3" t="s">
        <v>162</v>
      </c>
      <c r="B50" s="3" t="s">
        <v>105</v>
      </c>
      <c r="C50" s="3" t="s">
        <v>55</v>
      </c>
      <c r="D50" s="25" t="s">
        <v>874</v>
      </c>
      <c r="E50" s="3" t="s">
        <v>105</v>
      </c>
      <c r="F50" s="3"/>
      <c r="K50" s="13" t="n">
        <f aca="false">IF(E50=B50,1,0)</f>
        <v>1</v>
      </c>
    </row>
    <row r="51" customFormat="false" ht="13.8" hidden="false" customHeight="false" outlineLevel="0" collapsed="false">
      <c r="A51" s="3" t="s">
        <v>123</v>
      </c>
      <c r="B51" s="3" t="s">
        <v>105</v>
      </c>
      <c r="C51" s="3" t="s">
        <v>61</v>
      </c>
      <c r="D51" s="25" t="s">
        <v>874</v>
      </c>
      <c r="E51" s="3" t="s">
        <v>105</v>
      </c>
      <c r="F51" s="3" t="s">
        <v>55</v>
      </c>
      <c r="K51" s="13" t="n">
        <f aca="false">IF(E51=B51,1,0)</f>
        <v>1</v>
      </c>
      <c r="L51" s="13" t="n">
        <f aca="false">IF(F51=C51,1,0)</f>
        <v>0</v>
      </c>
    </row>
    <row r="52" customFormat="false" ht="13.8" hidden="false" customHeight="false" outlineLevel="0" collapsed="false">
      <c r="A52" s="3" t="s">
        <v>144</v>
      </c>
      <c r="B52" s="3" t="s">
        <v>105</v>
      </c>
      <c r="C52" s="3" t="s">
        <v>61</v>
      </c>
      <c r="D52" s="25" t="s">
        <v>874</v>
      </c>
      <c r="E52" s="3" t="s">
        <v>105</v>
      </c>
      <c r="F52" s="3"/>
      <c r="K52" s="13" t="n">
        <f aca="false">IF(E52=B52,1,0)</f>
        <v>1</v>
      </c>
    </row>
    <row r="53" customFormat="false" ht="13.8" hidden="false" customHeight="false" outlineLevel="0" collapsed="false">
      <c r="A53" s="3" t="s">
        <v>141</v>
      </c>
      <c r="B53" s="3" t="s">
        <v>105</v>
      </c>
      <c r="C53" s="3" t="s">
        <v>55</v>
      </c>
      <c r="D53" s="25" t="s">
        <v>874</v>
      </c>
      <c r="E53" s="3" t="s">
        <v>105</v>
      </c>
      <c r="F53" s="3"/>
      <c r="K53" s="13" t="n">
        <f aca="false">IF(E53=B53,1,0)</f>
        <v>1</v>
      </c>
    </row>
    <row r="54" customFormat="false" ht="13.8" hidden="false" customHeight="false" outlineLevel="0" collapsed="false">
      <c r="A54" s="3" t="s">
        <v>124</v>
      </c>
      <c r="B54" s="3" t="s">
        <v>105</v>
      </c>
      <c r="C54" s="3" t="s">
        <v>55</v>
      </c>
      <c r="D54" s="25" t="s">
        <v>874</v>
      </c>
      <c r="E54" s="3" t="s">
        <v>105</v>
      </c>
      <c r="F54" s="3"/>
      <c r="K54" s="13" t="n">
        <f aca="false">IF(E54=B54,1,0)</f>
        <v>1</v>
      </c>
    </row>
    <row r="55" customFormat="false" ht="13.8" hidden="false" customHeight="false" outlineLevel="0" collapsed="false">
      <c r="A55" s="3" t="s">
        <v>180</v>
      </c>
      <c r="B55" s="3" t="s">
        <v>133</v>
      </c>
      <c r="C55" s="3" t="s">
        <v>65</v>
      </c>
      <c r="D55" s="25" t="s">
        <v>874</v>
      </c>
      <c r="E55" s="3" t="s">
        <v>105</v>
      </c>
      <c r="F55" s="3"/>
      <c r="K55" s="13" t="n">
        <f aca="false">IF(E55=B55,1,0)</f>
        <v>0</v>
      </c>
    </row>
    <row r="56" customFormat="false" ht="13.8" hidden="false" customHeight="false" outlineLevel="0" collapsed="false">
      <c r="A56" s="3" t="s">
        <v>183</v>
      </c>
      <c r="B56" s="3" t="s">
        <v>105</v>
      </c>
      <c r="C56" s="3" t="s">
        <v>61</v>
      </c>
      <c r="D56" s="25" t="s">
        <v>874</v>
      </c>
      <c r="E56" s="3" t="s">
        <v>105</v>
      </c>
      <c r="F56" s="3"/>
      <c r="K56" s="13" t="n">
        <f aca="false">IF(E56=B56,1,0)</f>
        <v>1</v>
      </c>
    </row>
    <row r="57" customFormat="false" ht="13.8" hidden="false" customHeight="false" outlineLevel="0" collapsed="false">
      <c r="A57" s="3" t="s">
        <v>135</v>
      </c>
      <c r="B57" s="3" t="s">
        <v>105</v>
      </c>
      <c r="C57" s="3" t="s">
        <v>55</v>
      </c>
      <c r="D57" s="25" t="s">
        <v>874</v>
      </c>
      <c r="E57" s="3" t="s">
        <v>105</v>
      </c>
      <c r="F57" s="3" t="s">
        <v>55</v>
      </c>
      <c r="K57" s="13" t="n">
        <f aca="false">IF(E57=B57,1,0)</f>
        <v>1</v>
      </c>
      <c r="L57" s="13" t="n">
        <f aca="false">IF(F57=C57,1,0)</f>
        <v>1</v>
      </c>
    </row>
    <row r="58" customFormat="false" ht="13.8" hidden="false" customHeight="false" outlineLevel="0" collapsed="false">
      <c r="A58" s="3" t="s">
        <v>179</v>
      </c>
      <c r="B58" s="3" t="s">
        <v>150</v>
      </c>
      <c r="C58" s="3" t="s">
        <v>63</v>
      </c>
      <c r="D58" s="25" t="s">
        <v>874</v>
      </c>
      <c r="E58" s="3" t="s">
        <v>105</v>
      </c>
      <c r="F58" s="3" t="s">
        <v>61</v>
      </c>
      <c r="K58" s="13" t="n">
        <f aca="false">IF(E58=B58,1,0)</f>
        <v>0</v>
      </c>
      <c r="L58" s="13" t="n">
        <f aca="false">IF(F58=C58,1,0)</f>
        <v>0</v>
      </c>
    </row>
    <row r="59" customFormat="false" ht="13.8" hidden="false" customHeight="false" outlineLevel="0" collapsed="false">
      <c r="A59" s="3" t="s">
        <v>137</v>
      </c>
      <c r="B59" s="3" t="s">
        <v>105</v>
      </c>
      <c r="C59" s="3" t="s">
        <v>55</v>
      </c>
      <c r="D59" s="25" t="s">
        <v>874</v>
      </c>
      <c r="E59" s="3" t="s">
        <v>105</v>
      </c>
      <c r="F59" s="3"/>
      <c r="K59" s="13" t="n">
        <f aca="false">IF(E59=B59,1,0)</f>
        <v>1</v>
      </c>
    </row>
    <row r="60" customFormat="false" ht="13.8" hidden="false" customHeight="false" outlineLevel="0" collapsed="false">
      <c r="A60" s="3" t="s">
        <v>191</v>
      </c>
      <c r="B60" s="3" t="s">
        <v>105</v>
      </c>
      <c r="C60" s="3" t="s">
        <v>61</v>
      </c>
      <c r="D60" s="25" t="s">
        <v>877</v>
      </c>
      <c r="E60" s="3" t="s">
        <v>150</v>
      </c>
      <c r="F60" s="3" t="s">
        <v>83</v>
      </c>
      <c r="K60" s="13" t="n">
        <f aca="false">IF(E60=B60,1,0)</f>
        <v>0</v>
      </c>
      <c r="L60" s="13" t="n">
        <f aca="false">IF(F60=C60,1,0)</f>
        <v>0</v>
      </c>
    </row>
    <row r="61" customFormat="false" ht="13.8" hidden="false" customHeight="false" outlineLevel="0" collapsed="false">
      <c r="A61" s="3" t="s">
        <v>146</v>
      </c>
      <c r="B61" s="3" t="s">
        <v>105</v>
      </c>
      <c r="C61" s="3" t="s">
        <v>61</v>
      </c>
      <c r="D61" s="25" t="s">
        <v>874</v>
      </c>
      <c r="E61" s="3" t="s">
        <v>105</v>
      </c>
      <c r="F61" s="3"/>
      <c r="K61" s="13" t="n">
        <f aca="false">IF(E61=B61,1,0)</f>
        <v>1</v>
      </c>
    </row>
    <row r="62" customFormat="false" ht="13.8" hidden="false" customHeight="false" outlineLevel="0" collapsed="false">
      <c r="A62" s="3" t="s">
        <v>131</v>
      </c>
      <c r="B62" s="3" t="s">
        <v>105</v>
      </c>
      <c r="C62" s="3" t="s">
        <v>61</v>
      </c>
      <c r="D62" s="25" t="s">
        <v>874</v>
      </c>
      <c r="E62" s="3" t="s">
        <v>105</v>
      </c>
      <c r="F62" s="3"/>
      <c r="K62" s="13" t="n">
        <f aca="false">IF(E62=B62,1,0)</f>
        <v>1</v>
      </c>
    </row>
    <row r="63" customFormat="false" ht="13.8" hidden="false" customHeight="false" outlineLevel="0" collapsed="false">
      <c r="A63" s="3" t="s">
        <v>195</v>
      </c>
      <c r="B63" s="3" t="s">
        <v>105</v>
      </c>
      <c r="C63" s="3" t="s">
        <v>55</v>
      </c>
      <c r="D63" s="25" t="s">
        <v>874</v>
      </c>
      <c r="E63" s="3" t="s">
        <v>105</v>
      </c>
      <c r="F63" s="3" t="s">
        <v>55</v>
      </c>
      <c r="K63" s="13" t="n">
        <f aca="false">IF(E63=B63,1,0)</f>
        <v>1</v>
      </c>
      <c r="L63" s="13" t="n">
        <f aca="false">IF(F63=C63,1,0)</f>
        <v>1</v>
      </c>
    </row>
    <row r="64" customFormat="false" ht="13.8" hidden="false" customHeight="false" outlineLevel="0" collapsed="false">
      <c r="A64" s="3" t="s">
        <v>159</v>
      </c>
      <c r="B64" s="3" t="s">
        <v>143</v>
      </c>
      <c r="C64" s="3" t="s">
        <v>160</v>
      </c>
      <c r="D64" s="25" t="s">
        <v>878</v>
      </c>
      <c r="E64" s="3"/>
      <c r="F64" s="3"/>
    </row>
    <row r="65" customFormat="false" ht="13.8" hidden="false" customHeight="false" outlineLevel="0" collapsed="false">
      <c r="A65" s="3" t="s">
        <v>163</v>
      </c>
      <c r="B65" s="3" t="s">
        <v>105</v>
      </c>
      <c r="C65" s="3" t="s">
        <v>55</v>
      </c>
      <c r="D65" s="25" t="s">
        <v>874</v>
      </c>
      <c r="E65" s="3" t="s">
        <v>880</v>
      </c>
      <c r="F65" s="3" t="s">
        <v>875</v>
      </c>
      <c r="K65" s="13" t="n">
        <f aca="false">IF(E65=B65,1,0)</f>
        <v>0</v>
      </c>
      <c r="L65" s="13" t="n">
        <f aca="false">IF(F65=C65,1,0)</f>
        <v>0</v>
      </c>
    </row>
    <row r="66" customFormat="false" ht="13.8" hidden="false" customHeight="false" outlineLevel="0" collapsed="false">
      <c r="A66" s="3" t="s">
        <v>165</v>
      </c>
      <c r="B66" s="3" t="s">
        <v>105</v>
      </c>
      <c r="C66" s="3" t="s">
        <v>61</v>
      </c>
      <c r="D66" s="25" t="s">
        <v>874</v>
      </c>
      <c r="E66" s="3" t="s">
        <v>105</v>
      </c>
      <c r="F66" s="3"/>
      <c r="K66" s="13" t="n">
        <f aca="false">IF(E66=B66,1,0)</f>
        <v>1</v>
      </c>
    </row>
    <row r="67" customFormat="false" ht="13.8" hidden="false" customHeight="false" outlineLevel="0" collapsed="false">
      <c r="A67" s="3" t="s">
        <v>193</v>
      </c>
      <c r="B67" s="3" t="s">
        <v>133</v>
      </c>
      <c r="C67" s="3" t="s">
        <v>65</v>
      </c>
      <c r="D67" s="25" t="s">
        <v>881</v>
      </c>
      <c r="E67" s="3" t="s">
        <v>133</v>
      </c>
      <c r="F67" s="3" t="s">
        <v>65</v>
      </c>
      <c r="K67" s="13" t="n">
        <f aca="false">IF(E67=B67,1,0)</f>
        <v>1</v>
      </c>
      <c r="L67" s="13" t="n">
        <f aca="false">IF(F67=C67,1,0)</f>
        <v>1</v>
      </c>
    </row>
    <row r="68" customFormat="false" ht="13.8" hidden="false" customHeight="false" outlineLevel="0" collapsed="false">
      <c r="A68" s="3" t="s">
        <v>170</v>
      </c>
      <c r="B68" s="3" t="s">
        <v>105</v>
      </c>
      <c r="C68" s="3" t="s">
        <v>61</v>
      </c>
      <c r="D68" s="25" t="s">
        <v>877</v>
      </c>
      <c r="E68" s="3" t="s">
        <v>150</v>
      </c>
      <c r="F68" s="3" t="s">
        <v>83</v>
      </c>
      <c r="K68" s="13" t="n">
        <f aca="false">IF(E68=B68,1,0)</f>
        <v>0</v>
      </c>
      <c r="L68" s="13" t="n">
        <f aca="false">IF(F68=C68,1,0)</f>
        <v>0</v>
      </c>
    </row>
    <row r="69" customFormat="false" ht="13.8" hidden="false" customHeight="false" outlineLevel="0" collapsed="false">
      <c r="A69" s="3" t="s">
        <v>184</v>
      </c>
      <c r="B69" s="3" t="s">
        <v>105</v>
      </c>
      <c r="C69" s="3" t="s">
        <v>55</v>
      </c>
      <c r="D69" s="25" t="s">
        <v>874</v>
      </c>
      <c r="E69" s="3" t="s">
        <v>105</v>
      </c>
      <c r="F69" s="3"/>
      <c r="K69" s="13" t="n">
        <f aca="false">IF(E69=B69,1,0)</f>
        <v>1</v>
      </c>
    </row>
    <row r="70" customFormat="false" ht="13.8" hidden="false" customHeight="false" outlineLevel="0" collapsed="false">
      <c r="A70" s="3" t="s">
        <v>190</v>
      </c>
      <c r="B70" s="3" t="s">
        <v>105</v>
      </c>
      <c r="C70" s="3" t="s">
        <v>55</v>
      </c>
      <c r="D70" s="25" t="s">
        <v>874</v>
      </c>
      <c r="E70" s="3" t="s">
        <v>105</v>
      </c>
      <c r="F70" s="3" t="s">
        <v>55</v>
      </c>
      <c r="K70" s="13" t="n">
        <f aca="false">IF(E70=B70,1,0)</f>
        <v>1</v>
      </c>
      <c r="L70" s="13" t="n">
        <f aca="false">IF(F70=C70,1,0)</f>
        <v>1</v>
      </c>
    </row>
    <row r="71" customFormat="false" ht="13.8" hidden="false" customHeight="false" outlineLevel="0" collapsed="false">
      <c r="A71" s="3" t="s">
        <v>192</v>
      </c>
      <c r="B71" s="3" t="s">
        <v>143</v>
      </c>
      <c r="C71" s="3" t="s">
        <v>160</v>
      </c>
      <c r="D71" s="25" t="s">
        <v>874</v>
      </c>
      <c r="E71" s="3" t="s">
        <v>105</v>
      </c>
      <c r="F71" s="3"/>
      <c r="K71" s="13" t="n">
        <f aca="false">IF(E71=B71,1,0)</f>
        <v>0</v>
      </c>
    </row>
    <row r="72" customFormat="false" ht="13.8" hidden="false" customHeight="false" outlineLevel="0" collapsed="false">
      <c r="A72" s="3" t="s">
        <v>130</v>
      </c>
      <c r="B72" s="3" t="s">
        <v>105</v>
      </c>
      <c r="C72" s="3" t="s">
        <v>61</v>
      </c>
      <c r="D72" s="25" t="s">
        <v>874</v>
      </c>
      <c r="E72" s="3" t="s">
        <v>105</v>
      </c>
      <c r="F72" s="3" t="s">
        <v>55</v>
      </c>
      <c r="K72" s="13" t="n">
        <f aca="false">IF(E72=B72,1,0)</f>
        <v>1</v>
      </c>
      <c r="L72" s="13" t="n">
        <f aca="false">IF(F72=C72,1,0)</f>
        <v>0</v>
      </c>
    </row>
    <row r="73" customFormat="false" ht="13.8" hidden="false" customHeight="false" outlineLevel="0" collapsed="false">
      <c r="A73" s="3" t="s">
        <v>182</v>
      </c>
      <c r="B73" s="3" t="s">
        <v>105</v>
      </c>
      <c r="C73" s="3" t="s">
        <v>61</v>
      </c>
      <c r="D73" s="25" t="s">
        <v>874</v>
      </c>
      <c r="E73" s="3" t="s">
        <v>105</v>
      </c>
      <c r="F73" s="3"/>
      <c r="K73" s="13" t="n">
        <f aca="false">IF(E73=B73,1,0)</f>
        <v>1</v>
      </c>
    </row>
    <row r="74" customFormat="false" ht="13.8" hidden="false" customHeight="false" outlineLevel="0" collapsed="false">
      <c r="A74" s="3" t="s">
        <v>194</v>
      </c>
      <c r="B74" s="3" t="s">
        <v>150</v>
      </c>
      <c r="C74" s="3" t="s">
        <v>154</v>
      </c>
      <c r="D74" s="25" t="s">
        <v>877</v>
      </c>
      <c r="E74" s="3" t="s">
        <v>150</v>
      </c>
      <c r="F74" s="3" t="s">
        <v>154</v>
      </c>
      <c r="K74" s="13" t="n">
        <f aca="false">IF(E74=B74,1,0)</f>
        <v>1</v>
      </c>
      <c r="L74" s="13" t="n">
        <f aca="false">IF(F74=C74,1,0)</f>
        <v>1</v>
      </c>
    </row>
    <row r="75" customFormat="false" ht="13.8" hidden="false" customHeight="false" outlineLevel="0" collapsed="false">
      <c r="A75" s="3" t="s">
        <v>175</v>
      </c>
      <c r="B75" s="3" t="s">
        <v>133</v>
      </c>
      <c r="C75" s="3" t="s">
        <v>65</v>
      </c>
      <c r="D75" s="25" t="s">
        <v>881</v>
      </c>
      <c r="E75" s="3" t="s">
        <v>133</v>
      </c>
      <c r="F75" s="3" t="s">
        <v>65</v>
      </c>
      <c r="K75" s="13" t="n">
        <f aca="false">IF(E75=B75,1,0)</f>
        <v>1</v>
      </c>
      <c r="L75" s="13" t="n">
        <f aca="false">IF(F75=C75,1,0)</f>
        <v>1</v>
      </c>
    </row>
    <row r="76" customFormat="false" ht="13.8" hidden="false" customHeight="false" outlineLevel="0" collapsed="false">
      <c r="A76" s="3" t="s">
        <v>132</v>
      </c>
      <c r="B76" s="3" t="s">
        <v>133</v>
      </c>
      <c r="C76" s="3" t="s">
        <v>65</v>
      </c>
      <c r="D76" s="25" t="s">
        <v>877</v>
      </c>
      <c r="E76" s="3" t="s">
        <v>150</v>
      </c>
      <c r="F76" s="3" t="s">
        <v>63</v>
      </c>
      <c r="K76" s="13" t="n">
        <f aca="false">IF(E76=B76,1,0)</f>
        <v>0</v>
      </c>
      <c r="L76" s="13" t="n">
        <f aca="false">IF(F76=C76,1,0)</f>
        <v>0</v>
      </c>
    </row>
    <row r="77" customFormat="false" ht="13.8" hidden="false" customHeight="false" outlineLevel="0" collapsed="false">
      <c r="D77" s="26"/>
      <c r="J77" s="18"/>
      <c r="K77" s="18"/>
      <c r="L77" s="18"/>
    </row>
    <row r="78" customFormat="false" ht="15.75" hidden="false" customHeight="false" outlineLevel="0" collapsed="false">
      <c r="D78" s="26"/>
    </row>
    <row r="79" customFormat="false" ht="15.75" hidden="false" customHeight="false" outlineLevel="0" collapsed="false">
      <c r="D79" s="26"/>
    </row>
    <row r="80" customFormat="false" ht="15.75" hidden="false" customHeight="false" outlineLevel="0" collapsed="false">
      <c r="D80" s="26"/>
    </row>
    <row r="81" customFormat="false" ht="15.75" hidden="false" customHeight="false" outlineLevel="0" collapsed="false">
      <c r="D81" s="26"/>
    </row>
    <row r="82" customFormat="false" ht="15.75" hidden="false" customHeight="false" outlineLevel="0" collapsed="false">
      <c r="D82" s="26"/>
    </row>
    <row r="83" customFormat="false" ht="15.75" hidden="false" customHeight="false" outlineLevel="0" collapsed="false">
      <c r="D83" s="26"/>
    </row>
    <row r="84" customFormat="false" ht="15.75" hidden="false" customHeight="false" outlineLevel="0" collapsed="false">
      <c r="D84" s="26"/>
    </row>
    <row r="85" customFormat="false" ht="15.75" hidden="false" customHeight="false" outlineLevel="0" collapsed="false">
      <c r="D85" s="26"/>
    </row>
    <row r="86" customFormat="false" ht="15.75" hidden="false" customHeight="false" outlineLevel="0" collapsed="false">
      <c r="D86" s="26"/>
    </row>
    <row r="87" customFormat="false" ht="15.75" hidden="false" customHeight="false" outlineLevel="0" collapsed="false">
      <c r="D87" s="26"/>
    </row>
    <row r="88" customFormat="false" ht="15.75" hidden="false" customHeight="false" outlineLevel="0" collapsed="false">
      <c r="D88" s="26"/>
    </row>
    <row r="89" customFormat="false" ht="15.75" hidden="false" customHeight="false" outlineLevel="0" collapsed="false">
      <c r="D89" s="26"/>
    </row>
    <row r="90" customFormat="false" ht="15.75" hidden="false" customHeight="false" outlineLevel="0" collapsed="false">
      <c r="D90" s="26"/>
    </row>
    <row r="91" customFormat="false" ht="15.75" hidden="false" customHeight="false" outlineLevel="0" collapsed="false">
      <c r="D91" s="26"/>
    </row>
    <row r="92" customFormat="false" ht="15.75" hidden="false" customHeight="false" outlineLevel="0" collapsed="false">
      <c r="D92" s="26"/>
    </row>
    <row r="93" customFormat="false" ht="15.75" hidden="false" customHeight="false" outlineLevel="0" collapsed="false">
      <c r="D93" s="26"/>
    </row>
    <row r="94" customFormat="false" ht="15.75" hidden="false" customHeight="false" outlineLevel="0" collapsed="false">
      <c r="D94" s="26"/>
    </row>
    <row r="95" customFormat="false" ht="15.75" hidden="false" customHeight="false" outlineLevel="0" collapsed="false">
      <c r="D95" s="26"/>
    </row>
    <row r="96" customFormat="false" ht="15.75" hidden="false" customHeight="false" outlineLevel="0" collapsed="false">
      <c r="D96" s="26"/>
    </row>
    <row r="97" customFormat="false" ht="15.75" hidden="false" customHeight="false" outlineLevel="0" collapsed="false">
      <c r="D97" s="26"/>
    </row>
    <row r="98" customFormat="false" ht="15.75" hidden="false" customHeight="false" outlineLevel="0" collapsed="false">
      <c r="D98" s="26"/>
    </row>
    <row r="99" customFormat="false" ht="15.75" hidden="false" customHeight="false" outlineLevel="0" collapsed="false">
      <c r="D99" s="26"/>
    </row>
    <row r="100" customFormat="false" ht="15.75" hidden="false" customHeight="false" outlineLevel="0" collapsed="false">
      <c r="D100" s="26"/>
    </row>
    <row r="101" customFormat="false" ht="15.75" hidden="false" customHeight="false" outlineLevel="0" collapsed="false">
      <c r="D101" s="26"/>
    </row>
    <row r="102" customFormat="false" ht="15.75" hidden="false" customHeight="false" outlineLevel="0" collapsed="false">
      <c r="D102" s="26"/>
    </row>
    <row r="103" customFormat="false" ht="15.75" hidden="false" customHeight="false" outlineLevel="0" collapsed="false">
      <c r="D103" s="26"/>
    </row>
    <row r="104" customFormat="false" ht="15.75" hidden="false" customHeight="false" outlineLevel="0" collapsed="false">
      <c r="D104" s="26"/>
    </row>
    <row r="105" customFormat="false" ht="15.75" hidden="false" customHeight="false" outlineLevel="0" collapsed="false">
      <c r="D105" s="26"/>
    </row>
    <row r="106" customFormat="false" ht="15.75" hidden="false" customHeight="false" outlineLevel="0" collapsed="false">
      <c r="D106" s="26"/>
    </row>
    <row r="107" customFormat="false" ht="15.75" hidden="false" customHeight="false" outlineLevel="0" collapsed="false">
      <c r="D107" s="26"/>
    </row>
    <row r="108" customFormat="false" ht="15.75" hidden="false" customHeight="false" outlineLevel="0" collapsed="false">
      <c r="D108" s="26"/>
    </row>
    <row r="109" customFormat="false" ht="15.75" hidden="false" customHeight="false" outlineLevel="0" collapsed="false">
      <c r="D109" s="26"/>
    </row>
    <row r="110" customFormat="false" ht="15.75" hidden="false" customHeight="false" outlineLevel="0" collapsed="false">
      <c r="D110" s="26"/>
    </row>
    <row r="111" customFormat="false" ht="15.75" hidden="false" customHeight="false" outlineLevel="0" collapsed="false">
      <c r="D111" s="26"/>
    </row>
    <row r="112" customFormat="false" ht="15.75" hidden="false" customHeight="false" outlineLevel="0" collapsed="false">
      <c r="D112" s="26"/>
    </row>
    <row r="113" customFormat="false" ht="15.75" hidden="false" customHeight="false" outlineLevel="0" collapsed="false">
      <c r="D113" s="26"/>
    </row>
    <row r="114" customFormat="false" ht="15.75" hidden="false" customHeight="false" outlineLevel="0" collapsed="false">
      <c r="D114" s="26"/>
    </row>
    <row r="115" customFormat="false" ht="15.75" hidden="false" customHeight="false" outlineLevel="0" collapsed="false">
      <c r="D115" s="26"/>
    </row>
    <row r="116" customFormat="false" ht="15.75" hidden="false" customHeight="false" outlineLevel="0" collapsed="false">
      <c r="D116" s="26"/>
    </row>
    <row r="117" customFormat="false" ht="15.75" hidden="false" customHeight="false" outlineLevel="0" collapsed="false">
      <c r="D117" s="26"/>
    </row>
    <row r="118" customFormat="false" ht="15.75" hidden="false" customHeight="false" outlineLevel="0" collapsed="false">
      <c r="D118" s="26"/>
    </row>
    <row r="119" customFormat="false" ht="15.75" hidden="false" customHeight="false" outlineLevel="0" collapsed="false">
      <c r="D119" s="26"/>
    </row>
    <row r="120" customFormat="false" ht="15.75" hidden="false" customHeight="false" outlineLevel="0" collapsed="false">
      <c r="D120" s="26"/>
    </row>
    <row r="121" customFormat="false" ht="15.75" hidden="false" customHeight="false" outlineLevel="0" collapsed="false">
      <c r="D121" s="26"/>
    </row>
    <row r="122" customFormat="false" ht="15.75" hidden="false" customHeight="false" outlineLevel="0" collapsed="false">
      <c r="D122" s="26"/>
    </row>
    <row r="123" customFormat="false" ht="15.75" hidden="false" customHeight="false" outlineLevel="0" collapsed="false">
      <c r="D123" s="26"/>
    </row>
    <row r="124" customFormat="false" ht="15.75" hidden="false" customHeight="false" outlineLevel="0" collapsed="false">
      <c r="D124" s="26"/>
    </row>
    <row r="125" customFormat="false" ht="15.75" hidden="false" customHeight="false" outlineLevel="0" collapsed="false">
      <c r="D125" s="26"/>
    </row>
    <row r="126" customFormat="false" ht="15.75" hidden="false" customHeight="false" outlineLevel="0" collapsed="false">
      <c r="D126" s="26"/>
    </row>
    <row r="127" customFormat="false" ht="15.75" hidden="false" customHeight="false" outlineLevel="0" collapsed="false">
      <c r="D127" s="26"/>
    </row>
    <row r="128" customFormat="false" ht="15.75" hidden="false" customHeight="false" outlineLevel="0" collapsed="false">
      <c r="D128" s="26"/>
    </row>
    <row r="129" customFormat="false" ht="15.75" hidden="false" customHeight="false" outlineLevel="0" collapsed="false">
      <c r="D129" s="26"/>
    </row>
    <row r="130" customFormat="false" ht="15.75" hidden="false" customHeight="false" outlineLevel="0" collapsed="false">
      <c r="D130" s="26"/>
    </row>
    <row r="131" customFormat="false" ht="15.75" hidden="false" customHeight="false" outlineLevel="0" collapsed="false">
      <c r="D131" s="26"/>
    </row>
    <row r="132" customFormat="false" ht="15.75" hidden="false" customHeight="false" outlineLevel="0" collapsed="false">
      <c r="D132" s="26"/>
    </row>
    <row r="133" customFormat="false" ht="15.75" hidden="false" customHeight="false" outlineLevel="0" collapsed="false">
      <c r="D133" s="26"/>
    </row>
    <row r="134" customFormat="false" ht="15.75" hidden="false" customHeight="false" outlineLevel="0" collapsed="false">
      <c r="D134" s="26"/>
    </row>
    <row r="135" customFormat="false" ht="15.75" hidden="false" customHeight="false" outlineLevel="0" collapsed="false">
      <c r="D135" s="26"/>
    </row>
    <row r="136" customFormat="false" ht="15.75" hidden="false" customHeight="false" outlineLevel="0" collapsed="false">
      <c r="D136" s="26"/>
    </row>
    <row r="137" customFormat="false" ht="15.75" hidden="false" customHeight="false" outlineLevel="0" collapsed="false">
      <c r="D137" s="26"/>
    </row>
    <row r="138" customFormat="false" ht="15.75" hidden="false" customHeight="false" outlineLevel="0" collapsed="false">
      <c r="D138" s="26"/>
    </row>
    <row r="139" customFormat="false" ht="15.75" hidden="false" customHeight="false" outlineLevel="0" collapsed="false">
      <c r="D139" s="26"/>
    </row>
    <row r="140" customFormat="false" ht="15.75" hidden="false" customHeight="false" outlineLevel="0" collapsed="false">
      <c r="D140" s="26"/>
    </row>
    <row r="141" customFormat="false" ht="15.75" hidden="false" customHeight="false" outlineLevel="0" collapsed="false">
      <c r="D141" s="26"/>
    </row>
    <row r="142" customFormat="false" ht="15.75" hidden="false" customHeight="false" outlineLevel="0" collapsed="false">
      <c r="D142" s="26"/>
    </row>
    <row r="143" customFormat="false" ht="15.75" hidden="false" customHeight="false" outlineLevel="0" collapsed="false">
      <c r="D143" s="26"/>
    </row>
    <row r="144" customFormat="false" ht="15.75" hidden="false" customHeight="false" outlineLevel="0" collapsed="false">
      <c r="D144" s="26"/>
    </row>
    <row r="145" customFormat="false" ht="15.75" hidden="false" customHeight="false" outlineLevel="0" collapsed="false">
      <c r="D145" s="26"/>
    </row>
    <row r="146" customFormat="false" ht="15.75" hidden="false" customHeight="false" outlineLevel="0" collapsed="false">
      <c r="D146" s="26"/>
    </row>
    <row r="147" customFormat="false" ht="15.75" hidden="false" customHeight="false" outlineLevel="0" collapsed="false">
      <c r="D147" s="26"/>
    </row>
    <row r="148" customFormat="false" ht="15.75" hidden="false" customHeight="false" outlineLevel="0" collapsed="false">
      <c r="D148" s="26"/>
    </row>
    <row r="149" customFormat="false" ht="15.75" hidden="false" customHeight="false" outlineLevel="0" collapsed="false">
      <c r="D149" s="26"/>
    </row>
    <row r="150" customFormat="false" ht="15.75" hidden="false" customHeight="false" outlineLevel="0" collapsed="false">
      <c r="D150" s="26"/>
    </row>
    <row r="151" customFormat="false" ht="15.75" hidden="false" customHeight="false" outlineLevel="0" collapsed="false">
      <c r="D151" s="26"/>
    </row>
    <row r="152" customFormat="false" ht="15.75" hidden="false" customHeight="false" outlineLevel="0" collapsed="false">
      <c r="D152" s="26"/>
    </row>
    <row r="153" customFormat="false" ht="15.75" hidden="false" customHeight="false" outlineLevel="0" collapsed="false">
      <c r="D153" s="26"/>
    </row>
    <row r="154" customFormat="false" ht="15.75" hidden="false" customHeight="false" outlineLevel="0" collapsed="false">
      <c r="D154" s="26"/>
    </row>
    <row r="155" customFormat="false" ht="15.75" hidden="false" customHeight="false" outlineLevel="0" collapsed="false">
      <c r="D155" s="26"/>
    </row>
    <row r="156" customFormat="false" ht="15.75" hidden="false" customHeight="false" outlineLevel="0" collapsed="false">
      <c r="D156" s="26"/>
    </row>
    <row r="157" customFormat="false" ht="15.75" hidden="false" customHeight="false" outlineLevel="0" collapsed="false">
      <c r="D157" s="26"/>
    </row>
    <row r="158" customFormat="false" ht="15.75" hidden="false" customHeight="false" outlineLevel="0" collapsed="false">
      <c r="D158" s="26"/>
    </row>
    <row r="159" customFormat="false" ht="15.75" hidden="false" customHeight="false" outlineLevel="0" collapsed="false">
      <c r="D159" s="26"/>
    </row>
    <row r="160" customFormat="false" ht="15.75" hidden="false" customHeight="false" outlineLevel="0" collapsed="false">
      <c r="D160" s="26"/>
    </row>
    <row r="161" customFormat="false" ht="15.75" hidden="false" customHeight="false" outlineLevel="0" collapsed="false">
      <c r="D161" s="26"/>
    </row>
    <row r="162" customFormat="false" ht="15.75" hidden="false" customHeight="false" outlineLevel="0" collapsed="false">
      <c r="D162" s="26"/>
    </row>
    <row r="163" customFormat="false" ht="15.75" hidden="false" customHeight="false" outlineLevel="0" collapsed="false">
      <c r="D163" s="26"/>
    </row>
    <row r="164" customFormat="false" ht="15.75" hidden="false" customHeight="false" outlineLevel="0" collapsed="false">
      <c r="D164" s="26"/>
    </row>
    <row r="165" customFormat="false" ht="15.75" hidden="false" customHeight="false" outlineLevel="0" collapsed="false">
      <c r="D165" s="26"/>
    </row>
    <row r="166" customFormat="false" ht="15.75" hidden="false" customHeight="false" outlineLevel="0" collapsed="false">
      <c r="D166" s="26"/>
    </row>
    <row r="167" customFormat="false" ht="15.75" hidden="false" customHeight="false" outlineLevel="0" collapsed="false">
      <c r="D167" s="26"/>
    </row>
    <row r="168" customFormat="false" ht="15.75" hidden="false" customHeight="false" outlineLevel="0" collapsed="false">
      <c r="D168" s="26"/>
    </row>
    <row r="169" customFormat="false" ht="15.75" hidden="false" customHeight="false" outlineLevel="0" collapsed="false">
      <c r="D169" s="26"/>
    </row>
    <row r="170" customFormat="false" ht="15.75" hidden="false" customHeight="false" outlineLevel="0" collapsed="false">
      <c r="D170" s="26"/>
    </row>
    <row r="171" customFormat="false" ht="15.75" hidden="false" customHeight="false" outlineLevel="0" collapsed="false">
      <c r="D171" s="26"/>
    </row>
    <row r="172" customFormat="false" ht="15.75" hidden="false" customHeight="false" outlineLevel="0" collapsed="false">
      <c r="D172" s="26"/>
    </row>
    <row r="173" customFormat="false" ht="15.75" hidden="false" customHeight="false" outlineLevel="0" collapsed="false">
      <c r="D173" s="26"/>
    </row>
    <row r="174" customFormat="false" ht="15.75" hidden="false" customHeight="false" outlineLevel="0" collapsed="false">
      <c r="D174" s="26"/>
    </row>
    <row r="175" customFormat="false" ht="15.75" hidden="false" customHeight="false" outlineLevel="0" collapsed="false">
      <c r="D175" s="26"/>
    </row>
    <row r="176" customFormat="false" ht="15.75" hidden="false" customHeight="false" outlineLevel="0" collapsed="false">
      <c r="D176" s="26"/>
    </row>
    <row r="177" customFormat="false" ht="15.75" hidden="false" customHeight="false" outlineLevel="0" collapsed="false">
      <c r="D177" s="26"/>
    </row>
    <row r="178" customFormat="false" ht="15.75" hidden="false" customHeight="false" outlineLevel="0" collapsed="false">
      <c r="D178" s="26"/>
    </row>
    <row r="179" customFormat="false" ht="15.75" hidden="false" customHeight="false" outlineLevel="0" collapsed="false">
      <c r="D179" s="26"/>
    </row>
    <row r="180" customFormat="false" ht="15.75" hidden="false" customHeight="false" outlineLevel="0" collapsed="false">
      <c r="D180" s="26"/>
    </row>
    <row r="181" customFormat="false" ht="15.75" hidden="false" customHeight="false" outlineLevel="0" collapsed="false">
      <c r="D181" s="26"/>
    </row>
    <row r="182" customFormat="false" ht="15.75" hidden="false" customHeight="false" outlineLevel="0" collapsed="false">
      <c r="D182" s="26"/>
    </row>
    <row r="183" customFormat="false" ht="15.75" hidden="false" customHeight="false" outlineLevel="0" collapsed="false">
      <c r="D183" s="26"/>
    </row>
    <row r="184" customFormat="false" ht="15.75" hidden="false" customHeight="false" outlineLevel="0" collapsed="false">
      <c r="D184" s="26"/>
    </row>
    <row r="185" customFormat="false" ht="15.75" hidden="false" customHeight="false" outlineLevel="0" collapsed="false">
      <c r="D185" s="26"/>
    </row>
    <row r="186" customFormat="false" ht="15.75" hidden="false" customHeight="false" outlineLevel="0" collapsed="false">
      <c r="D186" s="26"/>
    </row>
    <row r="187" customFormat="false" ht="15.75" hidden="false" customHeight="false" outlineLevel="0" collapsed="false">
      <c r="D187" s="26"/>
    </row>
    <row r="188" customFormat="false" ht="15.75" hidden="false" customHeight="false" outlineLevel="0" collapsed="false">
      <c r="D188" s="26"/>
    </row>
    <row r="189" customFormat="false" ht="15.75" hidden="false" customHeight="false" outlineLevel="0" collapsed="false">
      <c r="D189" s="26"/>
    </row>
    <row r="190" customFormat="false" ht="15.75" hidden="false" customHeight="false" outlineLevel="0" collapsed="false">
      <c r="D190" s="26"/>
    </row>
    <row r="191" customFormat="false" ht="15.75" hidden="false" customHeight="false" outlineLevel="0" collapsed="false">
      <c r="D191" s="26"/>
    </row>
    <row r="192" customFormat="false" ht="15.75" hidden="false" customHeight="false" outlineLevel="0" collapsed="false">
      <c r="D192" s="26"/>
    </row>
    <row r="193" customFormat="false" ht="15.75" hidden="false" customHeight="false" outlineLevel="0" collapsed="false">
      <c r="D193" s="26"/>
    </row>
    <row r="194" customFormat="false" ht="15.75" hidden="false" customHeight="false" outlineLevel="0" collapsed="false">
      <c r="D194" s="26"/>
    </row>
    <row r="195" customFormat="false" ht="15.75" hidden="false" customHeight="false" outlineLevel="0" collapsed="false">
      <c r="D195" s="26"/>
    </row>
    <row r="196" customFormat="false" ht="15.75" hidden="false" customHeight="false" outlineLevel="0" collapsed="false">
      <c r="D196" s="26"/>
    </row>
    <row r="197" customFormat="false" ht="15.75" hidden="false" customHeight="false" outlineLevel="0" collapsed="false">
      <c r="D197" s="26"/>
    </row>
    <row r="198" customFormat="false" ht="15.75" hidden="false" customHeight="false" outlineLevel="0" collapsed="false">
      <c r="D198" s="26"/>
    </row>
    <row r="199" customFormat="false" ht="15.75" hidden="false" customHeight="false" outlineLevel="0" collapsed="false">
      <c r="D199" s="26"/>
    </row>
    <row r="200" customFormat="false" ht="15.75" hidden="false" customHeight="false" outlineLevel="0" collapsed="false">
      <c r="D200" s="26"/>
    </row>
    <row r="201" customFormat="false" ht="15.75" hidden="false" customHeight="false" outlineLevel="0" collapsed="false">
      <c r="D201" s="26"/>
    </row>
    <row r="202" customFormat="false" ht="15.75" hidden="false" customHeight="false" outlineLevel="0" collapsed="false">
      <c r="D202" s="26"/>
    </row>
    <row r="203" customFormat="false" ht="15.75" hidden="false" customHeight="false" outlineLevel="0" collapsed="false">
      <c r="D203" s="26"/>
    </row>
    <row r="204" customFormat="false" ht="15.75" hidden="false" customHeight="false" outlineLevel="0" collapsed="false">
      <c r="D204" s="26"/>
    </row>
    <row r="205" customFormat="false" ht="15.75" hidden="false" customHeight="false" outlineLevel="0" collapsed="false">
      <c r="D205" s="26"/>
    </row>
    <row r="206" customFormat="false" ht="15.75" hidden="false" customHeight="false" outlineLevel="0" collapsed="false">
      <c r="D206" s="26"/>
    </row>
    <row r="207" customFormat="false" ht="15.75" hidden="false" customHeight="false" outlineLevel="0" collapsed="false">
      <c r="D207" s="26"/>
    </row>
    <row r="208" customFormat="false" ht="15.75" hidden="false" customHeight="false" outlineLevel="0" collapsed="false">
      <c r="D208" s="26"/>
    </row>
    <row r="209" customFormat="false" ht="15.75" hidden="false" customHeight="false" outlineLevel="0" collapsed="false">
      <c r="D209" s="26"/>
    </row>
    <row r="210" customFormat="false" ht="15.75" hidden="false" customHeight="false" outlineLevel="0" collapsed="false">
      <c r="D210" s="26"/>
    </row>
    <row r="211" customFormat="false" ht="15.75" hidden="false" customHeight="false" outlineLevel="0" collapsed="false">
      <c r="D211" s="26"/>
    </row>
    <row r="212" customFormat="false" ht="15.75" hidden="false" customHeight="false" outlineLevel="0" collapsed="false">
      <c r="D212" s="26"/>
    </row>
    <row r="213" customFormat="false" ht="15.75" hidden="false" customHeight="false" outlineLevel="0" collapsed="false">
      <c r="D213" s="26"/>
    </row>
    <row r="214" customFormat="false" ht="15.75" hidden="false" customHeight="false" outlineLevel="0" collapsed="false">
      <c r="D214" s="26"/>
    </row>
    <row r="215" customFormat="false" ht="15.75" hidden="false" customHeight="false" outlineLevel="0" collapsed="false">
      <c r="D215" s="26"/>
    </row>
    <row r="216" customFormat="false" ht="15.75" hidden="false" customHeight="false" outlineLevel="0" collapsed="false">
      <c r="D216" s="26"/>
    </row>
    <row r="217" customFormat="false" ht="15.75" hidden="false" customHeight="false" outlineLevel="0" collapsed="false">
      <c r="D217" s="26"/>
    </row>
    <row r="218" customFormat="false" ht="15.75" hidden="false" customHeight="false" outlineLevel="0" collapsed="false">
      <c r="D218" s="26"/>
    </row>
    <row r="219" customFormat="false" ht="15.75" hidden="false" customHeight="false" outlineLevel="0" collapsed="false">
      <c r="D219" s="26"/>
    </row>
    <row r="220" customFormat="false" ht="15.75" hidden="false" customHeight="false" outlineLevel="0" collapsed="false">
      <c r="D220" s="26"/>
    </row>
    <row r="221" customFormat="false" ht="15.75" hidden="false" customHeight="false" outlineLevel="0" collapsed="false">
      <c r="D221" s="26"/>
    </row>
    <row r="222" customFormat="false" ht="15.75" hidden="false" customHeight="false" outlineLevel="0" collapsed="false">
      <c r="D222" s="26"/>
    </row>
    <row r="223" customFormat="false" ht="15.75" hidden="false" customHeight="false" outlineLevel="0" collapsed="false">
      <c r="D223" s="26"/>
    </row>
    <row r="224" customFormat="false" ht="15.75" hidden="false" customHeight="false" outlineLevel="0" collapsed="false">
      <c r="D224" s="26"/>
    </row>
    <row r="225" customFormat="false" ht="15.75" hidden="false" customHeight="false" outlineLevel="0" collapsed="false">
      <c r="D225" s="26"/>
    </row>
    <row r="226" customFormat="false" ht="15.75" hidden="false" customHeight="false" outlineLevel="0" collapsed="false">
      <c r="D226" s="26"/>
    </row>
    <row r="227" customFormat="false" ht="15.75" hidden="false" customHeight="false" outlineLevel="0" collapsed="false">
      <c r="D227" s="26"/>
    </row>
    <row r="228" customFormat="false" ht="15.75" hidden="false" customHeight="false" outlineLevel="0" collapsed="false">
      <c r="D228" s="26"/>
    </row>
    <row r="229" customFormat="false" ht="15.75" hidden="false" customHeight="false" outlineLevel="0" collapsed="false">
      <c r="D229" s="26"/>
    </row>
    <row r="230" customFormat="false" ht="15.75" hidden="false" customHeight="false" outlineLevel="0" collapsed="false">
      <c r="D230" s="26"/>
    </row>
    <row r="231" customFormat="false" ht="15.75" hidden="false" customHeight="false" outlineLevel="0" collapsed="false">
      <c r="D231" s="26"/>
    </row>
    <row r="232" customFormat="false" ht="15.75" hidden="false" customHeight="false" outlineLevel="0" collapsed="false">
      <c r="D232" s="26"/>
    </row>
    <row r="233" customFormat="false" ht="15.75" hidden="false" customHeight="false" outlineLevel="0" collapsed="false">
      <c r="D233" s="26"/>
    </row>
    <row r="234" customFormat="false" ht="15.75" hidden="false" customHeight="false" outlineLevel="0" collapsed="false">
      <c r="D234" s="26"/>
    </row>
    <row r="235" customFormat="false" ht="15.75" hidden="false" customHeight="false" outlineLevel="0" collapsed="false">
      <c r="D235" s="26"/>
    </row>
    <row r="236" customFormat="false" ht="15.75" hidden="false" customHeight="false" outlineLevel="0" collapsed="false">
      <c r="D236" s="26"/>
    </row>
    <row r="237" customFormat="false" ht="15.75" hidden="false" customHeight="false" outlineLevel="0" collapsed="false">
      <c r="D237" s="26"/>
    </row>
    <row r="238" customFormat="false" ht="15.75" hidden="false" customHeight="false" outlineLevel="0" collapsed="false">
      <c r="D238" s="26"/>
    </row>
    <row r="239" customFormat="false" ht="15.75" hidden="false" customHeight="false" outlineLevel="0" collapsed="false">
      <c r="D239" s="26"/>
    </row>
    <row r="240" customFormat="false" ht="15.75" hidden="false" customHeight="false" outlineLevel="0" collapsed="false">
      <c r="D240" s="26"/>
    </row>
    <row r="241" customFormat="false" ht="15.75" hidden="false" customHeight="false" outlineLevel="0" collapsed="false">
      <c r="D241" s="26"/>
    </row>
    <row r="242" customFormat="false" ht="15.75" hidden="false" customHeight="false" outlineLevel="0" collapsed="false">
      <c r="D242" s="26"/>
    </row>
    <row r="243" customFormat="false" ht="15.75" hidden="false" customHeight="false" outlineLevel="0" collapsed="false">
      <c r="D243" s="26"/>
    </row>
    <row r="244" customFormat="false" ht="15.75" hidden="false" customHeight="false" outlineLevel="0" collapsed="false">
      <c r="D244" s="26"/>
    </row>
    <row r="245" customFormat="false" ht="15.75" hidden="false" customHeight="false" outlineLevel="0" collapsed="false">
      <c r="D245" s="26"/>
    </row>
    <row r="246" customFormat="false" ht="15.75" hidden="false" customHeight="false" outlineLevel="0" collapsed="false">
      <c r="D246" s="26"/>
    </row>
    <row r="247" customFormat="false" ht="15.75" hidden="false" customHeight="false" outlineLevel="0" collapsed="false">
      <c r="D247" s="26"/>
    </row>
    <row r="248" customFormat="false" ht="15.75" hidden="false" customHeight="false" outlineLevel="0" collapsed="false">
      <c r="D248" s="26"/>
    </row>
    <row r="249" customFormat="false" ht="15.75" hidden="false" customHeight="false" outlineLevel="0" collapsed="false">
      <c r="D249" s="26"/>
    </row>
    <row r="250" customFormat="false" ht="15.75" hidden="false" customHeight="false" outlineLevel="0" collapsed="false">
      <c r="D250" s="26"/>
    </row>
    <row r="251" customFormat="false" ht="15.75" hidden="false" customHeight="false" outlineLevel="0" collapsed="false">
      <c r="D251" s="26"/>
    </row>
    <row r="252" customFormat="false" ht="15.75" hidden="false" customHeight="false" outlineLevel="0" collapsed="false">
      <c r="D252" s="26"/>
    </row>
    <row r="253" customFormat="false" ht="15.75" hidden="false" customHeight="false" outlineLevel="0" collapsed="false">
      <c r="D253" s="26"/>
    </row>
    <row r="254" customFormat="false" ht="15.75" hidden="false" customHeight="false" outlineLevel="0" collapsed="false">
      <c r="D254" s="26"/>
    </row>
    <row r="255" customFormat="false" ht="15.75" hidden="false" customHeight="false" outlineLevel="0" collapsed="false">
      <c r="D255" s="26"/>
    </row>
    <row r="256" customFormat="false" ht="15.75" hidden="false" customHeight="false" outlineLevel="0" collapsed="false">
      <c r="D256" s="26"/>
    </row>
    <row r="257" customFormat="false" ht="15.75" hidden="false" customHeight="false" outlineLevel="0" collapsed="false">
      <c r="D257" s="26"/>
    </row>
    <row r="258" customFormat="false" ht="15.75" hidden="false" customHeight="false" outlineLevel="0" collapsed="false">
      <c r="D258" s="26"/>
    </row>
    <row r="259" customFormat="false" ht="15.75" hidden="false" customHeight="false" outlineLevel="0" collapsed="false">
      <c r="D259" s="26"/>
    </row>
    <row r="260" customFormat="false" ht="15.75" hidden="false" customHeight="false" outlineLevel="0" collapsed="false">
      <c r="D260" s="26"/>
    </row>
    <row r="261" customFormat="false" ht="15.75" hidden="false" customHeight="false" outlineLevel="0" collapsed="false">
      <c r="D261" s="26"/>
    </row>
    <row r="262" customFormat="false" ht="15.75" hidden="false" customHeight="false" outlineLevel="0" collapsed="false">
      <c r="D262" s="26"/>
    </row>
    <row r="263" customFormat="false" ht="15.75" hidden="false" customHeight="false" outlineLevel="0" collapsed="false">
      <c r="D263" s="26"/>
    </row>
    <row r="264" customFormat="false" ht="15.75" hidden="false" customHeight="false" outlineLevel="0" collapsed="false">
      <c r="D264" s="26"/>
    </row>
    <row r="265" customFormat="false" ht="15.75" hidden="false" customHeight="false" outlineLevel="0" collapsed="false">
      <c r="D265" s="26"/>
    </row>
    <row r="266" customFormat="false" ht="15.75" hidden="false" customHeight="false" outlineLevel="0" collapsed="false">
      <c r="D266" s="26"/>
    </row>
    <row r="267" customFormat="false" ht="15.75" hidden="false" customHeight="false" outlineLevel="0" collapsed="false">
      <c r="D267" s="26"/>
    </row>
    <row r="268" customFormat="false" ht="15.75" hidden="false" customHeight="false" outlineLevel="0" collapsed="false">
      <c r="D268" s="26"/>
    </row>
    <row r="269" customFormat="false" ht="15.75" hidden="false" customHeight="false" outlineLevel="0" collapsed="false">
      <c r="D269" s="26"/>
    </row>
    <row r="270" customFormat="false" ht="15.75" hidden="false" customHeight="false" outlineLevel="0" collapsed="false">
      <c r="D270" s="26"/>
    </row>
    <row r="271" customFormat="false" ht="15.75" hidden="false" customHeight="false" outlineLevel="0" collapsed="false">
      <c r="D271" s="26"/>
    </row>
    <row r="272" customFormat="false" ht="15.75" hidden="false" customHeight="false" outlineLevel="0" collapsed="false">
      <c r="D272" s="26"/>
    </row>
    <row r="273" customFormat="false" ht="15.75" hidden="false" customHeight="false" outlineLevel="0" collapsed="false">
      <c r="D273" s="26"/>
    </row>
    <row r="274" customFormat="false" ht="15.75" hidden="false" customHeight="false" outlineLevel="0" collapsed="false">
      <c r="D274" s="26"/>
    </row>
    <row r="275" customFormat="false" ht="15.75" hidden="false" customHeight="false" outlineLevel="0" collapsed="false">
      <c r="D275" s="26"/>
    </row>
    <row r="276" customFormat="false" ht="15.75" hidden="false" customHeight="false" outlineLevel="0" collapsed="false">
      <c r="D276" s="26"/>
    </row>
    <row r="277" customFormat="false" ht="15.75" hidden="false" customHeight="false" outlineLevel="0" collapsed="false">
      <c r="D277" s="26"/>
    </row>
    <row r="278" customFormat="false" ht="15.75" hidden="false" customHeight="false" outlineLevel="0" collapsed="false">
      <c r="D278" s="26"/>
    </row>
    <row r="279" customFormat="false" ht="15.75" hidden="false" customHeight="false" outlineLevel="0" collapsed="false">
      <c r="D279" s="26"/>
    </row>
    <row r="280" customFormat="false" ht="15.75" hidden="false" customHeight="false" outlineLevel="0" collapsed="false">
      <c r="D280" s="26"/>
    </row>
    <row r="281" customFormat="false" ht="15.75" hidden="false" customHeight="false" outlineLevel="0" collapsed="false">
      <c r="D281" s="26"/>
    </row>
    <row r="282" customFormat="false" ht="15.75" hidden="false" customHeight="false" outlineLevel="0" collapsed="false">
      <c r="D282" s="26"/>
    </row>
    <row r="283" customFormat="false" ht="15.75" hidden="false" customHeight="false" outlineLevel="0" collapsed="false">
      <c r="D283" s="26"/>
    </row>
    <row r="284" customFormat="false" ht="15.75" hidden="false" customHeight="false" outlineLevel="0" collapsed="false">
      <c r="D284" s="26"/>
    </row>
    <row r="285" customFormat="false" ht="15.75" hidden="false" customHeight="false" outlineLevel="0" collapsed="false">
      <c r="D285" s="26"/>
    </row>
    <row r="286" customFormat="false" ht="15.75" hidden="false" customHeight="false" outlineLevel="0" collapsed="false">
      <c r="D286" s="26"/>
    </row>
    <row r="287" customFormat="false" ht="15.75" hidden="false" customHeight="false" outlineLevel="0" collapsed="false">
      <c r="D287" s="26"/>
    </row>
    <row r="288" customFormat="false" ht="15.75" hidden="false" customHeight="false" outlineLevel="0" collapsed="false">
      <c r="D288" s="26"/>
    </row>
    <row r="289" customFormat="false" ht="15.75" hidden="false" customHeight="false" outlineLevel="0" collapsed="false">
      <c r="D289" s="26"/>
    </row>
    <row r="290" customFormat="false" ht="15.75" hidden="false" customHeight="false" outlineLevel="0" collapsed="false">
      <c r="D290" s="26"/>
    </row>
    <row r="291" customFormat="false" ht="15.75" hidden="false" customHeight="false" outlineLevel="0" collapsed="false">
      <c r="D291" s="26"/>
    </row>
    <row r="292" customFormat="false" ht="15.75" hidden="false" customHeight="false" outlineLevel="0" collapsed="false">
      <c r="D292" s="26"/>
    </row>
    <row r="293" customFormat="false" ht="15.75" hidden="false" customHeight="false" outlineLevel="0" collapsed="false">
      <c r="D293" s="26"/>
    </row>
    <row r="294" customFormat="false" ht="15.75" hidden="false" customHeight="false" outlineLevel="0" collapsed="false">
      <c r="D294" s="26"/>
    </row>
    <row r="295" customFormat="false" ht="15.75" hidden="false" customHeight="false" outlineLevel="0" collapsed="false">
      <c r="D295" s="26"/>
    </row>
    <row r="296" customFormat="false" ht="15.75" hidden="false" customHeight="false" outlineLevel="0" collapsed="false">
      <c r="D296" s="26"/>
    </row>
    <row r="297" customFormat="false" ht="15.75" hidden="false" customHeight="false" outlineLevel="0" collapsed="false">
      <c r="D297" s="26"/>
    </row>
    <row r="298" customFormat="false" ht="15.75" hidden="false" customHeight="false" outlineLevel="0" collapsed="false">
      <c r="D298" s="26"/>
    </row>
    <row r="299" customFormat="false" ht="15.75" hidden="false" customHeight="false" outlineLevel="0" collapsed="false">
      <c r="D299" s="26"/>
    </row>
    <row r="300" customFormat="false" ht="15.75" hidden="false" customHeight="false" outlineLevel="0" collapsed="false">
      <c r="D300" s="26"/>
    </row>
    <row r="301" customFormat="false" ht="15.75" hidden="false" customHeight="false" outlineLevel="0" collapsed="false">
      <c r="D301" s="26"/>
    </row>
    <row r="302" customFormat="false" ht="15.75" hidden="false" customHeight="false" outlineLevel="0" collapsed="false">
      <c r="D302" s="26"/>
    </row>
    <row r="303" customFormat="false" ht="15.75" hidden="false" customHeight="false" outlineLevel="0" collapsed="false">
      <c r="D303" s="26"/>
    </row>
    <row r="304" customFormat="false" ht="15.75" hidden="false" customHeight="false" outlineLevel="0" collapsed="false">
      <c r="D304" s="26"/>
    </row>
    <row r="305" customFormat="false" ht="15.75" hidden="false" customHeight="false" outlineLevel="0" collapsed="false">
      <c r="D305" s="26"/>
    </row>
    <row r="306" customFormat="false" ht="15.75" hidden="false" customHeight="false" outlineLevel="0" collapsed="false">
      <c r="D306" s="26"/>
    </row>
    <row r="307" customFormat="false" ht="15.75" hidden="false" customHeight="false" outlineLevel="0" collapsed="false">
      <c r="D307" s="26"/>
    </row>
    <row r="308" customFormat="false" ht="15.75" hidden="false" customHeight="false" outlineLevel="0" collapsed="false">
      <c r="D308" s="26"/>
    </row>
    <row r="309" customFormat="false" ht="15.75" hidden="false" customHeight="false" outlineLevel="0" collapsed="false">
      <c r="D309" s="26"/>
    </row>
    <row r="310" customFormat="false" ht="15.75" hidden="false" customHeight="false" outlineLevel="0" collapsed="false">
      <c r="D310" s="26"/>
    </row>
    <row r="311" customFormat="false" ht="15.75" hidden="false" customHeight="false" outlineLevel="0" collapsed="false">
      <c r="D311" s="26"/>
    </row>
    <row r="312" customFormat="false" ht="15.75" hidden="false" customHeight="false" outlineLevel="0" collapsed="false">
      <c r="D312" s="26"/>
    </row>
    <row r="313" customFormat="false" ht="15.75" hidden="false" customHeight="false" outlineLevel="0" collapsed="false">
      <c r="D313" s="26"/>
    </row>
    <row r="314" customFormat="false" ht="15.75" hidden="false" customHeight="false" outlineLevel="0" collapsed="false">
      <c r="D314" s="26"/>
    </row>
    <row r="315" customFormat="false" ht="15.75" hidden="false" customHeight="false" outlineLevel="0" collapsed="false">
      <c r="D315" s="26"/>
    </row>
    <row r="316" customFormat="false" ht="15.75" hidden="false" customHeight="false" outlineLevel="0" collapsed="false">
      <c r="D316" s="26"/>
    </row>
    <row r="317" customFormat="false" ht="15.75" hidden="false" customHeight="false" outlineLevel="0" collapsed="false">
      <c r="D317" s="26"/>
    </row>
    <row r="318" customFormat="false" ht="15.75" hidden="false" customHeight="false" outlineLevel="0" collapsed="false">
      <c r="D318" s="26"/>
    </row>
    <row r="319" customFormat="false" ht="15.75" hidden="false" customHeight="false" outlineLevel="0" collapsed="false">
      <c r="D319" s="26"/>
    </row>
    <row r="320" customFormat="false" ht="15.75" hidden="false" customHeight="false" outlineLevel="0" collapsed="false">
      <c r="D320" s="26"/>
    </row>
    <row r="321" customFormat="false" ht="15.75" hidden="false" customHeight="false" outlineLevel="0" collapsed="false">
      <c r="D321" s="26"/>
    </row>
    <row r="322" customFormat="false" ht="15.75" hidden="false" customHeight="false" outlineLevel="0" collapsed="false">
      <c r="D322" s="26"/>
    </row>
    <row r="323" customFormat="false" ht="15.75" hidden="false" customHeight="false" outlineLevel="0" collapsed="false">
      <c r="D323" s="26"/>
    </row>
    <row r="324" customFormat="false" ht="15.75" hidden="false" customHeight="false" outlineLevel="0" collapsed="false">
      <c r="D324" s="26"/>
    </row>
    <row r="325" customFormat="false" ht="15.75" hidden="false" customHeight="false" outlineLevel="0" collapsed="false">
      <c r="D325" s="26"/>
    </row>
    <row r="326" customFormat="false" ht="15.75" hidden="false" customHeight="false" outlineLevel="0" collapsed="false">
      <c r="D326" s="26"/>
    </row>
    <row r="327" customFormat="false" ht="15.75" hidden="false" customHeight="false" outlineLevel="0" collapsed="false">
      <c r="D327" s="26"/>
    </row>
    <row r="328" customFormat="false" ht="15.75" hidden="false" customHeight="false" outlineLevel="0" collapsed="false">
      <c r="D328" s="26"/>
    </row>
    <row r="329" customFormat="false" ht="15.75" hidden="false" customHeight="false" outlineLevel="0" collapsed="false">
      <c r="D329" s="26"/>
    </row>
    <row r="330" customFormat="false" ht="15.75" hidden="false" customHeight="false" outlineLevel="0" collapsed="false">
      <c r="D330" s="26"/>
    </row>
    <row r="331" customFormat="false" ht="15.75" hidden="false" customHeight="false" outlineLevel="0" collapsed="false">
      <c r="D331" s="26"/>
    </row>
    <row r="332" customFormat="false" ht="15.75" hidden="false" customHeight="false" outlineLevel="0" collapsed="false">
      <c r="D332" s="26"/>
    </row>
    <row r="333" customFormat="false" ht="15.75" hidden="false" customHeight="false" outlineLevel="0" collapsed="false">
      <c r="D333" s="26"/>
    </row>
    <row r="334" customFormat="false" ht="15.75" hidden="false" customHeight="false" outlineLevel="0" collapsed="false">
      <c r="D334" s="26"/>
    </row>
    <row r="335" customFormat="false" ht="15.75" hidden="false" customHeight="false" outlineLevel="0" collapsed="false">
      <c r="D335" s="26"/>
    </row>
    <row r="336" customFormat="false" ht="15.75" hidden="false" customHeight="false" outlineLevel="0" collapsed="false">
      <c r="D336" s="26"/>
    </row>
    <row r="337" customFormat="false" ht="15.75" hidden="false" customHeight="false" outlineLevel="0" collapsed="false">
      <c r="D337" s="26"/>
    </row>
    <row r="338" customFormat="false" ht="15.75" hidden="false" customHeight="false" outlineLevel="0" collapsed="false">
      <c r="D338" s="26"/>
    </row>
    <row r="339" customFormat="false" ht="15.75" hidden="false" customHeight="false" outlineLevel="0" collapsed="false">
      <c r="D339" s="26"/>
    </row>
    <row r="340" customFormat="false" ht="15.75" hidden="false" customHeight="false" outlineLevel="0" collapsed="false">
      <c r="D340" s="26"/>
    </row>
    <row r="341" customFormat="false" ht="15.75" hidden="false" customHeight="false" outlineLevel="0" collapsed="false">
      <c r="D341" s="26"/>
    </row>
    <row r="342" customFormat="false" ht="15.75" hidden="false" customHeight="false" outlineLevel="0" collapsed="false">
      <c r="D342" s="26"/>
    </row>
    <row r="343" customFormat="false" ht="15.75" hidden="false" customHeight="false" outlineLevel="0" collapsed="false">
      <c r="D343" s="26"/>
    </row>
    <row r="344" customFormat="false" ht="15.75" hidden="false" customHeight="false" outlineLevel="0" collapsed="false">
      <c r="D344" s="26"/>
    </row>
    <row r="345" customFormat="false" ht="15.75" hidden="false" customHeight="false" outlineLevel="0" collapsed="false">
      <c r="D345" s="26"/>
    </row>
    <row r="346" customFormat="false" ht="15.75" hidden="false" customHeight="false" outlineLevel="0" collapsed="false">
      <c r="D346" s="26"/>
    </row>
    <row r="347" customFormat="false" ht="15.75" hidden="false" customHeight="false" outlineLevel="0" collapsed="false">
      <c r="D347" s="26"/>
    </row>
    <row r="348" customFormat="false" ht="15.75" hidden="false" customHeight="false" outlineLevel="0" collapsed="false">
      <c r="D348" s="26"/>
    </row>
    <row r="349" customFormat="false" ht="15.75" hidden="false" customHeight="false" outlineLevel="0" collapsed="false">
      <c r="D349" s="26"/>
    </row>
    <row r="350" customFormat="false" ht="15.75" hidden="false" customHeight="false" outlineLevel="0" collapsed="false">
      <c r="D350" s="26"/>
    </row>
    <row r="351" customFormat="false" ht="15.75" hidden="false" customHeight="false" outlineLevel="0" collapsed="false">
      <c r="D351" s="26"/>
    </row>
    <row r="352" customFormat="false" ht="15.75" hidden="false" customHeight="false" outlineLevel="0" collapsed="false">
      <c r="D352" s="26"/>
    </row>
    <row r="353" customFormat="false" ht="15.75" hidden="false" customHeight="false" outlineLevel="0" collapsed="false">
      <c r="D353" s="26"/>
    </row>
    <row r="354" customFormat="false" ht="15.75" hidden="false" customHeight="false" outlineLevel="0" collapsed="false">
      <c r="D354" s="26"/>
    </row>
    <row r="355" customFormat="false" ht="15.75" hidden="false" customHeight="false" outlineLevel="0" collapsed="false">
      <c r="D355" s="26"/>
    </row>
    <row r="356" customFormat="false" ht="15.75" hidden="false" customHeight="false" outlineLevel="0" collapsed="false">
      <c r="D356" s="26"/>
    </row>
    <row r="357" customFormat="false" ht="15.75" hidden="false" customHeight="false" outlineLevel="0" collapsed="false">
      <c r="D357" s="26"/>
    </row>
    <row r="358" customFormat="false" ht="15.75" hidden="false" customHeight="false" outlineLevel="0" collapsed="false">
      <c r="D358" s="26"/>
    </row>
    <row r="359" customFormat="false" ht="15.75" hidden="false" customHeight="false" outlineLevel="0" collapsed="false">
      <c r="D359" s="26"/>
    </row>
    <row r="360" customFormat="false" ht="15.75" hidden="false" customHeight="false" outlineLevel="0" collapsed="false">
      <c r="D360" s="26"/>
    </row>
    <row r="361" customFormat="false" ht="15.75" hidden="false" customHeight="false" outlineLevel="0" collapsed="false">
      <c r="D361" s="26"/>
    </row>
    <row r="362" customFormat="false" ht="15.75" hidden="false" customHeight="false" outlineLevel="0" collapsed="false">
      <c r="D362" s="26"/>
    </row>
    <row r="363" customFormat="false" ht="15.75" hidden="false" customHeight="false" outlineLevel="0" collapsed="false">
      <c r="D363" s="26"/>
    </row>
    <row r="364" customFormat="false" ht="15.75" hidden="false" customHeight="false" outlineLevel="0" collapsed="false">
      <c r="D364" s="26"/>
    </row>
    <row r="365" customFormat="false" ht="15.75" hidden="false" customHeight="false" outlineLevel="0" collapsed="false">
      <c r="D365" s="26"/>
    </row>
    <row r="366" customFormat="false" ht="15.75" hidden="false" customHeight="false" outlineLevel="0" collapsed="false">
      <c r="D366" s="26"/>
    </row>
    <row r="367" customFormat="false" ht="15.75" hidden="false" customHeight="false" outlineLevel="0" collapsed="false">
      <c r="D367" s="26"/>
    </row>
    <row r="368" customFormat="false" ht="15.75" hidden="false" customHeight="false" outlineLevel="0" collapsed="false">
      <c r="D368" s="26"/>
    </row>
    <row r="369" customFormat="false" ht="15.75" hidden="false" customHeight="false" outlineLevel="0" collapsed="false">
      <c r="D369" s="26"/>
    </row>
    <row r="370" customFormat="false" ht="15.75" hidden="false" customHeight="false" outlineLevel="0" collapsed="false">
      <c r="D370" s="26"/>
    </row>
    <row r="371" customFormat="false" ht="15.75" hidden="false" customHeight="false" outlineLevel="0" collapsed="false">
      <c r="D371" s="26"/>
    </row>
    <row r="372" customFormat="false" ht="15.75" hidden="false" customHeight="false" outlineLevel="0" collapsed="false">
      <c r="D372" s="26"/>
    </row>
    <row r="373" customFormat="false" ht="15.75" hidden="false" customHeight="false" outlineLevel="0" collapsed="false">
      <c r="D373" s="26"/>
    </row>
    <row r="374" customFormat="false" ht="15.75" hidden="false" customHeight="false" outlineLevel="0" collapsed="false">
      <c r="D374" s="26"/>
    </row>
    <row r="375" customFormat="false" ht="15.75" hidden="false" customHeight="false" outlineLevel="0" collapsed="false">
      <c r="D375" s="26"/>
    </row>
    <row r="376" customFormat="false" ht="15.75" hidden="false" customHeight="false" outlineLevel="0" collapsed="false">
      <c r="D376" s="26"/>
    </row>
    <row r="377" customFormat="false" ht="15.75" hidden="false" customHeight="false" outlineLevel="0" collapsed="false">
      <c r="D377" s="26"/>
    </row>
    <row r="378" customFormat="false" ht="15.75" hidden="false" customHeight="false" outlineLevel="0" collapsed="false">
      <c r="D378" s="26"/>
    </row>
    <row r="379" customFormat="false" ht="15.75" hidden="false" customHeight="false" outlineLevel="0" collapsed="false">
      <c r="D379" s="26"/>
    </row>
    <row r="380" customFormat="false" ht="15.75" hidden="false" customHeight="false" outlineLevel="0" collapsed="false">
      <c r="D380" s="26"/>
    </row>
    <row r="381" customFormat="false" ht="15.75" hidden="false" customHeight="false" outlineLevel="0" collapsed="false">
      <c r="D381" s="26"/>
    </row>
    <row r="382" customFormat="false" ht="15.75" hidden="false" customHeight="false" outlineLevel="0" collapsed="false">
      <c r="D382" s="26"/>
    </row>
    <row r="383" customFormat="false" ht="15.75" hidden="false" customHeight="false" outlineLevel="0" collapsed="false">
      <c r="D383" s="26"/>
    </row>
    <row r="384" customFormat="false" ht="15.75" hidden="false" customHeight="false" outlineLevel="0" collapsed="false">
      <c r="D384" s="26"/>
    </row>
    <row r="385" customFormat="false" ht="15.75" hidden="false" customHeight="false" outlineLevel="0" collapsed="false">
      <c r="D385" s="26"/>
    </row>
    <row r="386" customFormat="false" ht="15.75" hidden="false" customHeight="false" outlineLevel="0" collapsed="false">
      <c r="D386" s="26"/>
    </row>
    <row r="387" customFormat="false" ht="15.75" hidden="false" customHeight="false" outlineLevel="0" collapsed="false">
      <c r="D387" s="26"/>
    </row>
    <row r="388" customFormat="false" ht="15.75" hidden="false" customHeight="false" outlineLevel="0" collapsed="false">
      <c r="D388" s="26"/>
    </row>
    <row r="389" customFormat="false" ht="15.75" hidden="false" customHeight="false" outlineLevel="0" collapsed="false">
      <c r="D389" s="26"/>
    </row>
    <row r="390" customFormat="false" ht="15.75" hidden="false" customHeight="false" outlineLevel="0" collapsed="false">
      <c r="D390" s="26"/>
    </row>
    <row r="391" customFormat="false" ht="15.75" hidden="false" customHeight="false" outlineLevel="0" collapsed="false">
      <c r="D391" s="26"/>
    </row>
    <row r="392" customFormat="false" ht="15.75" hidden="false" customHeight="false" outlineLevel="0" collapsed="false">
      <c r="D392" s="26"/>
    </row>
    <row r="393" customFormat="false" ht="15.75" hidden="false" customHeight="false" outlineLevel="0" collapsed="false">
      <c r="D393" s="26"/>
    </row>
    <row r="394" customFormat="false" ht="15.75" hidden="false" customHeight="false" outlineLevel="0" collapsed="false">
      <c r="D394" s="26"/>
    </row>
    <row r="395" customFormat="false" ht="15.75" hidden="false" customHeight="false" outlineLevel="0" collapsed="false">
      <c r="D395" s="26"/>
    </row>
    <row r="396" customFormat="false" ht="15.75" hidden="false" customHeight="false" outlineLevel="0" collapsed="false">
      <c r="D396" s="26"/>
    </row>
    <row r="397" customFormat="false" ht="15.75" hidden="false" customHeight="false" outlineLevel="0" collapsed="false">
      <c r="D397" s="26"/>
    </row>
    <row r="398" customFormat="false" ht="15.75" hidden="false" customHeight="false" outlineLevel="0" collapsed="false">
      <c r="D398" s="26"/>
    </row>
    <row r="399" customFormat="false" ht="15.75" hidden="false" customHeight="false" outlineLevel="0" collapsed="false">
      <c r="D399" s="26"/>
    </row>
    <row r="400" customFormat="false" ht="15.75" hidden="false" customHeight="false" outlineLevel="0" collapsed="false">
      <c r="D400" s="26"/>
    </row>
    <row r="401" customFormat="false" ht="15.75" hidden="false" customHeight="false" outlineLevel="0" collapsed="false">
      <c r="D401" s="26"/>
    </row>
    <row r="402" customFormat="false" ht="15.75" hidden="false" customHeight="false" outlineLevel="0" collapsed="false">
      <c r="D402" s="26"/>
    </row>
    <row r="403" customFormat="false" ht="15.75" hidden="false" customHeight="false" outlineLevel="0" collapsed="false">
      <c r="D403" s="26"/>
    </row>
    <row r="404" customFormat="false" ht="15.75" hidden="false" customHeight="false" outlineLevel="0" collapsed="false">
      <c r="D404" s="26"/>
    </row>
    <row r="405" customFormat="false" ht="15.75" hidden="false" customHeight="false" outlineLevel="0" collapsed="false">
      <c r="D405" s="26"/>
    </row>
    <row r="406" customFormat="false" ht="15.75" hidden="false" customHeight="false" outlineLevel="0" collapsed="false">
      <c r="D406" s="26"/>
    </row>
    <row r="407" customFormat="false" ht="15.75" hidden="false" customHeight="false" outlineLevel="0" collapsed="false">
      <c r="D407" s="26"/>
    </row>
    <row r="408" customFormat="false" ht="15.75" hidden="false" customHeight="false" outlineLevel="0" collapsed="false">
      <c r="D408" s="26"/>
    </row>
    <row r="409" customFormat="false" ht="15.75" hidden="false" customHeight="false" outlineLevel="0" collapsed="false">
      <c r="D409" s="26"/>
    </row>
    <row r="410" customFormat="false" ht="15.75" hidden="false" customHeight="false" outlineLevel="0" collapsed="false">
      <c r="D410" s="26"/>
    </row>
    <row r="411" customFormat="false" ht="15.75" hidden="false" customHeight="false" outlineLevel="0" collapsed="false">
      <c r="D411" s="26"/>
    </row>
    <row r="412" customFormat="false" ht="15.75" hidden="false" customHeight="false" outlineLevel="0" collapsed="false">
      <c r="D412" s="26"/>
    </row>
    <row r="413" customFormat="false" ht="15.75" hidden="false" customHeight="false" outlineLevel="0" collapsed="false">
      <c r="D413" s="26"/>
    </row>
    <row r="414" customFormat="false" ht="15.75" hidden="false" customHeight="false" outlineLevel="0" collapsed="false">
      <c r="D414" s="26"/>
    </row>
    <row r="415" customFormat="false" ht="15.75" hidden="false" customHeight="false" outlineLevel="0" collapsed="false">
      <c r="D415" s="26"/>
    </row>
    <row r="416" customFormat="false" ht="15.75" hidden="false" customHeight="false" outlineLevel="0" collapsed="false">
      <c r="D416" s="26"/>
    </row>
    <row r="417" customFormat="false" ht="15.75" hidden="false" customHeight="false" outlineLevel="0" collapsed="false">
      <c r="D417" s="26"/>
    </row>
    <row r="418" customFormat="false" ht="15.75" hidden="false" customHeight="false" outlineLevel="0" collapsed="false">
      <c r="D418" s="26"/>
    </row>
    <row r="419" customFormat="false" ht="15.75" hidden="false" customHeight="false" outlineLevel="0" collapsed="false">
      <c r="D419" s="26"/>
    </row>
    <row r="420" customFormat="false" ht="15.75" hidden="false" customHeight="false" outlineLevel="0" collapsed="false">
      <c r="D420" s="26"/>
    </row>
    <row r="421" customFormat="false" ht="15.75" hidden="false" customHeight="false" outlineLevel="0" collapsed="false">
      <c r="D421" s="26"/>
    </row>
    <row r="422" customFormat="false" ht="15.75" hidden="false" customHeight="false" outlineLevel="0" collapsed="false">
      <c r="D422" s="26"/>
    </row>
    <row r="423" customFormat="false" ht="15.75" hidden="false" customHeight="false" outlineLevel="0" collapsed="false">
      <c r="D423" s="26"/>
    </row>
    <row r="424" customFormat="false" ht="15.75" hidden="false" customHeight="false" outlineLevel="0" collapsed="false">
      <c r="D424" s="26"/>
    </row>
    <row r="425" customFormat="false" ht="15.75" hidden="false" customHeight="false" outlineLevel="0" collapsed="false">
      <c r="D425" s="26"/>
    </row>
    <row r="426" customFormat="false" ht="15.75" hidden="false" customHeight="false" outlineLevel="0" collapsed="false">
      <c r="D426" s="26"/>
    </row>
    <row r="427" customFormat="false" ht="15.75" hidden="false" customHeight="false" outlineLevel="0" collapsed="false">
      <c r="D427" s="26"/>
    </row>
    <row r="428" customFormat="false" ht="15.75" hidden="false" customHeight="false" outlineLevel="0" collapsed="false">
      <c r="D428" s="26"/>
    </row>
    <row r="429" customFormat="false" ht="15.75" hidden="false" customHeight="false" outlineLevel="0" collapsed="false">
      <c r="D429" s="26"/>
    </row>
    <row r="430" customFormat="false" ht="15.75" hidden="false" customHeight="false" outlineLevel="0" collapsed="false">
      <c r="D430" s="26"/>
    </row>
    <row r="431" customFormat="false" ht="15.75" hidden="false" customHeight="false" outlineLevel="0" collapsed="false">
      <c r="D431" s="26"/>
    </row>
    <row r="432" customFormat="false" ht="15.75" hidden="false" customHeight="false" outlineLevel="0" collapsed="false">
      <c r="D432" s="26"/>
    </row>
    <row r="433" customFormat="false" ht="15.75" hidden="false" customHeight="false" outlineLevel="0" collapsed="false">
      <c r="D433" s="26"/>
    </row>
    <row r="434" customFormat="false" ht="15.75" hidden="false" customHeight="false" outlineLevel="0" collapsed="false">
      <c r="D434" s="26"/>
    </row>
    <row r="435" customFormat="false" ht="15.75" hidden="false" customHeight="false" outlineLevel="0" collapsed="false">
      <c r="D435" s="26"/>
    </row>
    <row r="436" customFormat="false" ht="15.75" hidden="false" customHeight="false" outlineLevel="0" collapsed="false">
      <c r="D436" s="26"/>
    </row>
    <row r="437" customFormat="false" ht="15.75" hidden="false" customHeight="false" outlineLevel="0" collapsed="false">
      <c r="D437" s="26"/>
    </row>
    <row r="438" customFormat="false" ht="15.75" hidden="false" customHeight="false" outlineLevel="0" collapsed="false">
      <c r="D438" s="26"/>
    </row>
    <row r="439" customFormat="false" ht="15.75" hidden="false" customHeight="false" outlineLevel="0" collapsed="false">
      <c r="D439" s="26"/>
    </row>
    <row r="440" customFormat="false" ht="15.75" hidden="false" customHeight="false" outlineLevel="0" collapsed="false">
      <c r="D440" s="26"/>
    </row>
    <row r="441" customFormat="false" ht="15.75" hidden="false" customHeight="false" outlineLevel="0" collapsed="false">
      <c r="D441" s="26"/>
    </row>
    <row r="442" customFormat="false" ht="15.75" hidden="false" customHeight="false" outlineLevel="0" collapsed="false">
      <c r="D442" s="26"/>
    </row>
    <row r="443" customFormat="false" ht="15.75" hidden="false" customHeight="false" outlineLevel="0" collapsed="false">
      <c r="D443" s="26"/>
    </row>
    <row r="444" customFormat="false" ht="15.75" hidden="false" customHeight="false" outlineLevel="0" collapsed="false">
      <c r="D444" s="26"/>
    </row>
    <row r="445" customFormat="false" ht="15.75" hidden="false" customHeight="false" outlineLevel="0" collapsed="false">
      <c r="D445" s="26"/>
    </row>
    <row r="446" customFormat="false" ht="15.75" hidden="false" customHeight="false" outlineLevel="0" collapsed="false">
      <c r="D446" s="26"/>
    </row>
    <row r="447" customFormat="false" ht="15.75" hidden="false" customHeight="false" outlineLevel="0" collapsed="false">
      <c r="D447" s="26"/>
    </row>
    <row r="448" customFormat="false" ht="15.75" hidden="false" customHeight="false" outlineLevel="0" collapsed="false">
      <c r="D448" s="26"/>
    </row>
    <row r="449" customFormat="false" ht="15.75" hidden="false" customHeight="false" outlineLevel="0" collapsed="false">
      <c r="D449" s="26"/>
    </row>
    <row r="450" customFormat="false" ht="15.75" hidden="false" customHeight="false" outlineLevel="0" collapsed="false">
      <c r="D450" s="26"/>
    </row>
    <row r="451" customFormat="false" ht="15.75" hidden="false" customHeight="false" outlineLevel="0" collapsed="false">
      <c r="D451" s="26"/>
    </row>
    <row r="452" customFormat="false" ht="15.75" hidden="false" customHeight="false" outlineLevel="0" collapsed="false">
      <c r="D452" s="26"/>
    </row>
    <row r="453" customFormat="false" ht="15.75" hidden="false" customHeight="false" outlineLevel="0" collapsed="false">
      <c r="D453" s="26"/>
    </row>
    <row r="454" customFormat="false" ht="15.75" hidden="false" customHeight="false" outlineLevel="0" collapsed="false">
      <c r="D454" s="26"/>
    </row>
    <row r="455" customFormat="false" ht="15.75" hidden="false" customHeight="false" outlineLevel="0" collapsed="false">
      <c r="D455" s="26"/>
    </row>
    <row r="456" customFormat="false" ht="15.75" hidden="false" customHeight="false" outlineLevel="0" collapsed="false">
      <c r="D456" s="26"/>
    </row>
    <row r="457" customFormat="false" ht="15.75" hidden="false" customHeight="false" outlineLevel="0" collapsed="false">
      <c r="D457" s="26"/>
    </row>
    <row r="458" customFormat="false" ht="15.75" hidden="false" customHeight="false" outlineLevel="0" collapsed="false">
      <c r="D458" s="26"/>
    </row>
    <row r="459" customFormat="false" ht="15.75" hidden="false" customHeight="false" outlineLevel="0" collapsed="false">
      <c r="D459" s="26"/>
    </row>
    <row r="460" customFormat="false" ht="15.75" hidden="false" customHeight="false" outlineLevel="0" collapsed="false">
      <c r="D460" s="26"/>
    </row>
    <row r="461" customFormat="false" ht="15.75" hidden="false" customHeight="false" outlineLevel="0" collapsed="false">
      <c r="D461" s="26"/>
    </row>
    <row r="462" customFormat="false" ht="15.75" hidden="false" customHeight="false" outlineLevel="0" collapsed="false">
      <c r="D462" s="26"/>
    </row>
    <row r="463" customFormat="false" ht="15.75" hidden="false" customHeight="false" outlineLevel="0" collapsed="false">
      <c r="D463" s="26"/>
    </row>
    <row r="464" customFormat="false" ht="15.75" hidden="false" customHeight="false" outlineLevel="0" collapsed="false">
      <c r="D464" s="26"/>
    </row>
    <row r="465" customFormat="false" ht="15.75" hidden="false" customHeight="false" outlineLevel="0" collapsed="false">
      <c r="D465" s="26"/>
    </row>
    <row r="466" customFormat="false" ht="15.75" hidden="false" customHeight="false" outlineLevel="0" collapsed="false">
      <c r="D466" s="26"/>
    </row>
    <row r="467" customFormat="false" ht="15.75" hidden="false" customHeight="false" outlineLevel="0" collapsed="false">
      <c r="D467" s="26"/>
    </row>
    <row r="468" customFormat="false" ht="15.75" hidden="false" customHeight="false" outlineLevel="0" collapsed="false">
      <c r="D468" s="26"/>
    </row>
    <row r="469" customFormat="false" ht="15.75" hidden="false" customHeight="false" outlineLevel="0" collapsed="false">
      <c r="D469" s="26"/>
    </row>
    <row r="470" customFormat="false" ht="15.75" hidden="false" customHeight="false" outlineLevel="0" collapsed="false">
      <c r="D470" s="26"/>
    </row>
    <row r="471" customFormat="false" ht="15.75" hidden="false" customHeight="false" outlineLevel="0" collapsed="false">
      <c r="D471" s="26"/>
    </row>
    <row r="472" customFormat="false" ht="15.75" hidden="false" customHeight="false" outlineLevel="0" collapsed="false">
      <c r="D472" s="26"/>
    </row>
    <row r="473" customFormat="false" ht="15.75" hidden="false" customHeight="false" outlineLevel="0" collapsed="false">
      <c r="D473" s="26"/>
    </row>
    <row r="474" customFormat="false" ht="15.75" hidden="false" customHeight="false" outlineLevel="0" collapsed="false">
      <c r="D474" s="26"/>
    </row>
    <row r="475" customFormat="false" ht="15.75" hidden="false" customHeight="false" outlineLevel="0" collapsed="false">
      <c r="D475" s="26"/>
    </row>
    <row r="476" customFormat="false" ht="15.75" hidden="false" customHeight="false" outlineLevel="0" collapsed="false">
      <c r="D476" s="26"/>
    </row>
    <row r="477" customFormat="false" ht="15.75" hidden="false" customHeight="false" outlineLevel="0" collapsed="false">
      <c r="D477" s="26"/>
    </row>
    <row r="478" customFormat="false" ht="15.75" hidden="false" customHeight="false" outlineLevel="0" collapsed="false">
      <c r="D478" s="26"/>
    </row>
    <row r="479" customFormat="false" ht="15.75" hidden="false" customHeight="false" outlineLevel="0" collapsed="false">
      <c r="D479" s="26"/>
    </row>
    <row r="480" customFormat="false" ht="15.75" hidden="false" customHeight="false" outlineLevel="0" collapsed="false">
      <c r="D480" s="26"/>
    </row>
    <row r="481" customFormat="false" ht="15.75" hidden="false" customHeight="false" outlineLevel="0" collapsed="false">
      <c r="D481" s="26"/>
    </row>
    <row r="482" customFormat="false" ht="15.75" hidden="false" customHeight="false" outlineLevel="0" collapsed="false">
      <c r="D482" s="26"/>
    </row>
    <row r="483" customFormat="false" ht="15.75" hidden="false" customHeight="false" outlineLevel="0" collapsed="false">
      <c r="D483" s="26"/>
    </row>
    <row r="484" customFormat="false" ht="15.75" hidden="false" customHeight="false" outlineLevel="0" collapsed="false">
      <c r="D484" s="26"/>
    </row>
    <row r="485" customFormat="false" ht="15.75" hidden="false" customHeight="false" outlineLevel="0" collapsed="false">
      <c r="D485" s="26"/>
    </row>
    <row r="486" customFormat="false" ht="15.75" hidden="false" customHeight="false" outlineLevel="0" collapsed="false">
      <c r="D486" s="26"/>
    </row>
    <row r="487" customFormat="false" ht="15.75" hidden="false" customHeight="false" outlineLevel="0" collapsed="false">
      <c r="D487" s="26"/>
    </row>
    <row r="488" customFormat="false" ht="15.75" hidden="false" customHeight="false" outlineLevel="0" collapsed="false">
      <c r="D488" s="26"/>
    </row>
    <row r="489" customFormat="false" ht="15.75" hidden="false" customHeight="false" outlineLevel="0" collapsed="false">
      <c r="D489" s="26"/>
    </row>
    <row r="490" customFormat="false" ht="15.75" hidden="false" customHeight="false" outlineLevel="0" collapsed="false">
      <c r="D490" s="26"/>
    </row>
    <row r="491" customFormat="false" ht="15.75" hidden="false" customHeight="false" outlineLevel="0" collapsed="false">
      <c r="D491" s="26"/>
    </row>
    <row r="492" customFormat="false" ht="15.75" hidden="false" customHeight="false" outlineLevel="0" collapsed="false">
      <c r="D492" s="26"/>
    </row>
    <row r="493" customFormat="false" ht="15.75" hidden="false" customHeight="false" outlineLevel="0" collapsed="false">
      <c r="D493" s="26"/>
    </row>
    <row r="494" customFormat="false" ht="15.75" hidden="false" customHeight="false" outlineLevel="0" collapsed="false">
      <c r="D494" s="26"/>
    </row>
    <row r="495" customFormat="false" ht="15.75" hidden="false" customHeight="false" outlineLevel="0" collapsed="false">
      <c r="D495" s="26"/>
    </row>
    <row r="496" customFormat="false" ht="15.75" hidden="false" customHeight="false" outlineLevel="0" collapsed="false">
      <c r="D496" s="26"/>
    </row>
    <row r="497" customFormat="false" ht="15.75" hidden="false" customHeight="false" outlineLevel="0" collapsed="false">
      <c r="D497" s="26"/>
    </row>
    <row r="498" customFormat="false" ht="15.75" hidden="false" customHeight="false" outlineLevel="0" collapsed="false">
      <c r="D498" s="26"/>
    </row>
    <row r="499" customFormat="false" ht="15.75" hidden="false" customHeight="false" outlineLevel="0" collapsed="false">
      <c r="D499" s="26"/>
    </row>
    <row r="500" customFormat="false" ht="15.75" hidden="false" customHeight="false" outlineLevel="0" collapsed="false">
      <c r="D500" s="26"/>
    </row>
    <row r="501" customFormat="false" ht="15.75" hidden="false" customHeight="false" outlineLevel="0" collapsed="false">
      <c r="D501" s="26"/>
    </row>
    <row r="502" customFormat="false" ht="15.75" hidden="false" customHeight="false" outlineLevel="0" collapsed="false">
      <c r="D502" s="26"/>
    </row>
    <row r="503" customFormat="false" ht="15.75" hidden="false" customHeight="false" outlineLevel="0" collapsed="false">
      <c r="D503" s="26"/>
    </row>
    <row r="504" customFormat="false" ht="15.75" hidden="false" customHeight="false" outlineLevel="0" collapsed="false">
      <c r="D504" s="26"/>
    </row>
    <row r="505" customFormat="false" ht="15.75" hidden="false" customHeight="false" outlineLevel="0" collapsed="false">
      <c r="D505" s="26"/>
    </row>
    <row r="506" customFormat="false" ht="15.75" hidden="false" customHeight="false" outlineLevel="0" collapsed="false">
      <c r="D506" s="26"/>
    </row>
    <row r="507" customFormat="false" ht="15.75" hidden="false" customHeight="false" outlineLevel="0" collapsed="false">
      <c r="D507" s="26"/>
    </row>
    <row r="508" customFormat="false" ht="15.75" hidden="false" customHeight="false" outlineLevel="0" collapsed="false">
      <c r="D508" s="26"/>
    </row>
    <row r="509" customFormat="false" ht="15.75" hidden="false" customHeight="false" outlineLevel="0" collapsed="false">
      <c r="D509" s="26"/>
    </row>
    <row r="510" customFormat="false" ht="15.75" hidden="false" customHeight="false" outlineLevel="0" collapsed="false">
      <c r="D510" s="26"/>
    </row>
    <row r="511" customFormat="false" ht="15.75" hidden="false" customHeight="false" outlineLevel="0" collapsed="false">
      <c r="D511" s="26"/>
    </row>
    <row r="512" customFormat="false" ht="15.75" hidden="false" customHeight="false" outlineLevel="0" collapsed="false">
      <c r="D512" s="26"/>
    </row>
    <row r="513" customFormat="false" ht="15.75" hidden="false" customHeight="false" outlineLevel="0" collapsed="false">
      <c r="D513" s="26"/>
    </row>
    <row r="514" customFormat="false" ht="15.75" hidden="false" customHeight="false" outlineLevel="0" collapsed="false">
      <c r="D514" s="26"/>
    </row>
    <row r="515" customFormat="false" ht="15.75" hidden="false" customHeight="false" outlineLevel="0" collapsed="false">
      <c r="D515" s="26"/>
    </row>
    <row r="516" customFormat="false" ht="15.75" hidden="false" customHeight="false" outlineLevel="0" collapsed="false">
      <c r="D516" s="26"/>
    </row>
    <row r="517" customFormat="false" ht="15.75" hidden="false" customHeight="false" outlineLevel="0" collapsed="false">
      <c r="D517" s="26"/>
    </row>
    <row r="518" customFormat="false" ht="15.75" hidden="false" customHeight="false" outlineLevel="0" collapsed="false">
      <c r="D518" s="26"/>
    </row>
    <row r="519" customFormat="false" ht="15.75" hidden="false" customHeight="false" outlineLevel="0" collapsed="false">
      <c r="D519" s="26"/>
    </row>
    <row r="520" customFormat="false" ht="15.75" hidden="false" customHeight="false" outlineLevel="0" collapsed="false">
      <c r="D520" s="26"/>
    </row>
    <row r="521" customFormat="false" ht="15.75" hidden="false" customHeight="false" outlineLevel="0" collapsed="false">
      <c r="D521" s="26"/>
    </row>
    <row r="522" customFormat="false" ht="15.75" hidden="false" customHeight="false" outlineLevel="0" collapsed="false">
      <c r="D522" s="26"/>
    </row>
    <row r="523" customFormat="false" ht="15.75" hidden="false" customHeight="false" outlineLevel="0" collapsed="false">
      <c r="D523" s="26"/>
    </row>
    <row r="524" customFormat="false" ht="15.75" hidden="false" customHeight="false" outlineLevel="0" collapsed="false">
      <c r="D524" s="26"/>
    </row>
    <row r="525" customFormat="false" ht="15.75" hidden="false" customHeight="false" outlineLevel="0" collapsed="false">
      <c r="D525" s="26"/>
    </row>
    <row r="526" customFormat="false" ht="15.75" hidden="false" customHeight="false" outlineLevel="0" collapsed="false">
      <c r="D526" s="26"/>
    </row>
    <row r="527" customFormat="false" ht="15.75" hidden="false" customHeight="false" outlineLevel="0" collapsed="false">
      <c r="D527" s="26"/>
    </row>
    <row r="528" customFormat="false" ht="15.75" hidden="false" customHeight="false" outlineLevel="0" collapsed="false">
      <c r="D528" s="26"/>
    </row>
    <row r="529" customFormat="false" ht="15.75" hidden="false" customHeight="false" outlineLevel="0" collapsed="false">
      <c r="D529" s="26"/>
    </row>
    <row r="530" customFormat="false" ht="15.75" hidden="false" customHeight="false" outlineLevel="0" collapsed="false">
      <c r="D530" s="26"/>
    </row>
    <row r="531" customFormat="false" ht="15.75" hidden="false" customHeight="false" outlineLevel="0" collapsed="false">
      <c r="D531" s="26"/>
    </row>
    <row r="532" customFormat="false" ht="15.75" hidden="false" customHeight="false" outlineLevel="0" collapsed="false">
      <c r="D532" s="26"/>
    </row>
    <row r="533" customFormat="false" ht="15.75" hidden="false" customHeight="false" outlineLevel="0" collapsed="false">
      <c r="D533" s="26"/>
    </row>
    <row r="534" customFormat="false" ht="15.75" hidden="false" customHeight="false" outlineLevel="0" collapsed="false">
      <c r="D534" s="26"/>
    </row>
    <row r="535" customFormat="false" ht="15.75" hidden="false" customHeight="false" outlineLevel="0" collapsed="false">
      <c r="D535" s="26"/>
    </row>
    <row r="536" customFormat="false" ht="15.75" hidden="false" customHeight="false" outlineLevel="0" collapsed="false">
      <c r="D536" s="26"/>
    </row>
    <row r="537" customFormat="false" ht="15.75" hidden="false" customHeight="false" outlineLevel="0" collapsed="false">
      <c r="D537" s="26"/>
    </row>
    <row r="538" customFormat="false" ht="15.75" hidden="false" customHeight="false" outlineLevel="0" collapsed="false">
      <c r="D538" s="26"/>
    </row>
    <row r="539" customFormat="false" ht="15.75" hidden="false" customHeight="false" outlineLevel="0" collapsed="false">
      <c r="D539" s="26"/>
    </row>
    <row r="540" customFormat="false" ht="15.75" hidden="false" customHeight="false" outlineLevel="0" collapsed="false">
      <c r="D540" s="26"/>
    </row>
    <row r="541" customFormat="false" ht="15.75" hidden="false" customHeight="false" outlineLevel="0" collapsed="false">
      <c r="D541" s="26"/>
    </row>
    <row r="542" customFormat="false" ht="15.75" hidden="false" customHeight="false" outlineLevel="0" collapsed="false">
      <c r="D542" s="26"/>
    </row>
    <row r="543" customFormat="false" ht="15.75" hidden="false" customHeight="false" outlineLevel="0" collapsed="false">
      <c r="D543" s="26"/>
    </row>
    <row r="544" customFormat="false" ht="15.75" hidden="false" customHeight="false" outlineLevel="0" collapsed="false">
      <c r="D544" s="26"/>
    </row>
    <row r="545" customFormat="false" ht="15.75" hidden="false" customHeight="false" outlineLevel="0" collapsed="false">
      <c r="D545" s="26"/>
    </row>
    <row r="546" customFormat="false" ht="15.75" hidden="false" customHeight="false" outlineLevel="0" collapsed="false">
      <c r="D546" s="26"/>
    </row>
    <row r="547" customFormat="false" ht="15.75" hidden="false" customHeight="false" outlineLevel="0" collapsed="false">
      <c r="D547" s="26"/>
    </row>
    <row r="548" customFormat="false" ht="15.75" hidden="false" customHeight="false" outlineLevel="0" collapsed="false">
      <c r="D548" s="26"/>
    </row>
    <row r="549" customFormat="false" ht="15.75" hidden="false" customHeight="false" outlineLevel="0" collapsed="false">
      <c r="D549" s="26"/>
    </row>
    <row r="550" customFormat="false" ht="15.75" hidden="false" customHeight="false" outlineLevel="0" collapsed="false">
      <c r="D550" s="26"/>
    </row>
    <row r="551" customFormat="false" ht="15.75" hidden="false" customHeight="false" outlineLevel="0" collapsed="false">
      <c r="D551" s="26"/>
    </row>
    <row r="552" customFormat="false" ht="15.75" hidden="false" customHeight="false" outlineLevel="0" collapsed="false">
      <c r="D552" s="26"/>
    </row>
    <row r="553" customFormat="false" ht="15.75" hidden="false" customHeight="false" outlineLevel="0" collapsed="false">
      <c r="D553" s="26"/>
    </row>
    <row r="554" customFormat="false" ht="15.75" hidden="false" customHeight="false" outlineLevel="0" collapsed="false">
      <c r="D554" s="26"/>
    </row>
    <row r="555" customFormat="false" ht="15.75" hidden="false" customHeight="false" outlineLevel="0" collapsed="false">
      <c r="D555" s="26"/>
    </row>
    <row r="556" customFormat="false" ht="15.75" hidden="false" customHeight="false" outlineLevel="0" collapsed="false">
      <c r="D556" s="26"/>
    </row>
    <row r="557" customFormat="false" ht="15.75" hidden="false" customHeight="false" outlineLevel="0" collapsed="false">
      <c r="D557" s="26"/>
    </row>
    <row r="558" customFormat="false" ht="15.75" hidden="false" customHeight="false" outlineLevel="0" collapsed="false">
      <c r="D558" s="26"/>
    </row>
    <row r="559" customFormat="false" ht="15.75" hidden="false" customHeight="false" outlineLevel="0" collapsed="false">
      <c r="D559" s="26"/>
    </row>
    <row r="560" customFormat="false" ht="15.75" hidden="false" customHeight="false" outlineLevel="0" collapsed="false">
      <c r="D560" s="26"/>
    </row>
    <row r="561" customFormat="false" ht="15.75" hidden="false" customHeight="false" outlineLevel="0" collapsed="false">
      <c r="D561" s="26"/>
    </row>
    <row r="562" customFormat="false" ht="15.75" hidden="false" customHeight="false" outlineLevel="0" collapsed="false">
      <c r="D562" s="26"/>
    </row>
    <row r="563" customFormat="false" ht="15.75" hidden="false" customHeight="false" outlineLevel="0" collapsed="false">
      <c r="D563" s="26"/>
    </row>
    <row r="564" customFormat="false" ht="15.75" hidden="false" customHeight="false" outlineLevel="0" collapsed="false">
      <c r="D564" s="26"/>
    </row>
    <row r="565" customFormat="false" ht="15.75" hidden="false" customHeight="false" outlineLevel="0" collapsed="false">
      <c r="D565" s="26"/>
    </row>
    <row r="566" customFormat="false" ht="15.75" hidden="false" customHeight="false" outlineLevel="0" collapsed="false">
      <c r="D566" s="26"/>
    </row>
    <row r="567" customFormat="false" ht="15.75" hidden="false" customHeight="false" outlineLevel="0" collapsed="false">
      <c r="D567" s="26"/>
    </row>
    <row r="568" customFormat="false" ht="15.75" hidden="false" customHeight="false" outlineLevel="0" collapsed="false">
      <c r="D568" s="26"/>
    </row>
    <row r="569" customFormat="false" ht="15.75" hidden="false" customHeight="false" outlineLevel="0" collapsed="false">
      <c r="D569" s="26"/>
    </row>
    <row r="570" customFormat="false" ht="15.75" hidden="false" customHeight="false" outlineLevel="0" collapsed="false">
      <c r="D570" s="26"/>
    </row>
    <row r="571" customFormat="false" ht="15.75" hidden="false" customHeight="false" outlineLevel="0" collapsed="false">
      <c r="D571" s="26"/>
    </row>
    <row r="572" customFormat="false" ht="15.75" hidden="false" customHeight="false" outlineLevel="0" collapsed="false">
      <c r="D572" s="26"/>
    </row>
    <row r="573" customFormat="false" ht="15.75" hidden="false" customHeight="false" outlineLevel="0" collapsed="false">
      <c r="D573" s="26"/>
    </row>
    <row r="574" customFormat="false" ht="15.75" hidden="false" customHeight="false" outlineLevel="0" collapsed="false">
      <c r="D574" s="26"/>
    </row>
    <row r="575" customFormat="false" ht="15.75" hidden="false" customHeight="false" outlineLevel="0" collapsed="false">
      <c r="D575" s="26"/>
    </row>
    <row r="576" customFormat="false" ht="15.75" hidden="false" customHeight="false" outlineLevel="0" collapsed="false">
      <c r="D576" s="26"/>
    </row>
    <row r="577" customFormat="false" ht="15.75" hidden="false" customHeight="false" outlineLevel="0" collapsed="false">
      <c r="D577" s="26"/>
    </row>
    <row r="578" customFormat="false" ht="15.75" hidden="false" customHeight="false" outlineLevel="0" collapsed="false">
      <c r="D578" s="26"/>
    </row>
    <row r="579" customFormat="false" ht="15.75" hidden="false" customHeight="false" outlineLevel="0" collapsed="false">
      <c r="D579" s="26"/>
    </row>
    <row r="580" customFormat="false" ht="15.75" hidden="false" customHeight="false" outlineLevel="0" collapsed="false">
      <c r="D580" s="26"/>
    </row>
    <row r="581" customFormat="false" ht="15.75" hidden="false" customHeight="false" outlineLevel="0" collapsed="false">
      <c r="D581" s="26"/>
    </row>
    <row r="582" customFormat="false" ht="15.75" hidden="false" customHeight="false" outlineLevel="0" collapsed="false">
      <c r="D582" s="26"/>
    </row>
    <row r="583" customFormat="false" ht="15.75" hidden="false" customHeight="false" outlineLevel="0" collapsed="false">
      <c r="D583" s="26"/>
    </row>
    <row r="584" customFormat="false" ht="15.75" hidden="false" customHeight="false" outlineLevel="0" collapsed="false">
      <c r="D584" s="26"/>
    </row>
    <row r="585" customFormat="false" ht="15.75" hidden="false" customHeight="false" outlineLevel="0" collapsed="false">
      <c r="D585" s="26"/>
    </row>
    <row r="586" customFormat="false" ht="15.75" hidden="false" customHeight="false" outlineLevel="0" collapsed="false">
      <c r="D586" s="26"/>
    </row>
    <row r="587" customFormat="false" ht="15.75" hidden="false" customHeight="false" outlineLevel="0" collapsed="false">
      <c r="D587" s="26"/>
    </row>
    <row r="588" customFormat="false" ht="15.75" hidden="false" customHeight="false" outlineLevel="0" collapsed="false">
      <c r="D588" s="26"/>
    </row>
    <row r="589" customFormat="false" ht="15.75" hidden="false" customHeight="false" outlineLevel="0" collapsed="false">
      <c r="D589" s="26"/>
    </row>
    <row r="590" customFormat="false" ht="15.75" hidden="false" customHeight="false" outlineLevel="0" collapsed="false">
      <c r="D590" s="26"/>
    </row>
    <row r="591" customFormat="false" ht="15.75" hidden="false" customHeight="false" outlineLevel="0" collapsed="false">
      <c r="D591" s="26"/>
    </row>
    <row r="592" customFormat="false" ht="15.75" hidden="false" customHeight="false" outlineLevel="0" collapsed="false">
      <c r="D592" s="26"/>
    </row>
    <row r="593" customFormat="false" ht="15.75" hidden="false" customHeight="false" outlineLevel="0" collapsed="false">
      <c r="D593" s="26"/>
    </row>
    <row r="594" customFormat="false" ht="15.75" hidden="false" customHeight="false" outlineLevel="0" collapsed="false">
      <c r="D594" s="26"/>
    </row>
    <row r="595" customFormat="false" ht="15.75" hidden="false" customHeight="false" outlineLevel="0" collapsed="false">
      <c r="D595" s="26"/>
    </row>
    <row r="596" customFormat="false" ht="15.75" hidden="false" customHeight="false" outlineLevel="0" collapsed="false">
      <c r="D596" s="26"/>
    </row>
    <row r="597" customFormat="false" ht="15.75" hidden="false" customHeight="false" outlineLevel="0" collapsed="false">
      <c r="D597" s="26"/>
    </row>
    <row r="598" customFormat="false" ht="15.75" hidden="false" customHeight="false" outlineLevel="0" collapsed="false">
      <c r="D598" s="26"/>
    </row>
    <row r="599" customFormat="false" ht="15.75" hidden="false" customHeight="false" outlineLevel="0" collapsed="false">
      <c r="D599" s="26"/>
    </row>
    <row r="600" customFormat="false" ht="15.75" hidden="false" customHeight="false" outlineLevel="0" collapsed="false">
      <c r="D600" s="26"/>
    </row>
    <row r="601" customFormat="false" ht="15.75" hidden="false" customHeight="false" outlineLevel="0" collapsed="false">
      <c r="D601" s="26"/>
    </row>
    <row r="602" customFormat="false" ht="15.75" hidden="false" customHeight="false" outlineLevel="0" collapsed="false">
      <c r="D602" s="26"/>
    </row>
    <row r="603" customFormat="false" ht="15.75" hidden="false" customHeight="false" outlineLevel="0" collapsed="false">
      <c r="D603" s="26"/>
    </row>
    <row r="604" customFormat="false" ht="15.75" hidden="false" customHeight="false" outlineLevel="0" collapsed="false">
      <c r="D604" s="26"/>
    </row>
    <row r="605" customFormat="false" ht="15.75" hidden="false" customHeight="false" outlineLevel="0" collapsed="false">
      <c r="D605" s="26"/>
    </row>
    <row r="606" customFormat="false" ht="15.75" hidden="false" customHeight="false" outlineLevel="0" collapsed="false">
      <c r="D606" s="26"/>
    </row>
    <row r="607" customFormat="false" ht="15.75" hidden="false" customHeight="false" outlineLevel="0" collapsed="false">
      <c r="D607" s="26"/>
    </row>
    <row r="608" customFormat="false" ht="15.75" hidden="false" customHeight="false" outlineLevel="0" collapsed="false">
      <c r="D608" s="26"/>
    </row>
    <row r="609" customFormat="false" ht="15.75" hidden="false" customHeight="false" outlineLevel="0" collapsed="false">
      <c r="D609" s="26"/>
    </row>
    <row r="610" customFormat="false" ht="15.75" hidden="false" customHeight="false" outlineLevel="0" collapsed="false">
      <c r="D610" s="26"/>
    </row>
    <row r="611" customFormat="false" ht="15.75" hidden="false" customHeight="false" outlineLevel="0" collapsed="false">
      <c r="D611" s="26"/>
    </row>
    <row r="612" customFormat="false" ht="15.75" hidden="false" customHeight="false" outlineLevel="0" collapsed="false">
      <c r="D612" s="26"/>
    </row>
    <row r="613" customFormat="false" ht="15.75" hidden="false" customHeight="false" outlineLevel="0" collapsed="false">
      <c r="D613" s="26"/>
    </row>
    <row r="614" customFormat="false" ht="15.75" hidden="false" customHeight="false" outlineLevel="0" collapsed="false">
      <c r="D614" s="26"/>
    </row>
    <row r="615" customFormat="false" ht="15.75" hidden="false" customHeight="false" outlineLevel="0" collapsed="false">
      <c r="D615" s="26"/>
    </row>
    <row r="616" customFormat="false" ht="15.75" hidden="false" customHeight="false" outlineLevel="0" collapsed="false">
      <c r="D616" s="26"/>
    </row>
    <row r="617" customFormat="false" ht="15.75" hidden="false" customHeight="false" outlineLevel="0" collapsed="false">
      <c r="D617" s="26"/>
    </row>
    <row r="618" customFormat="false" ht="15.75" hidden="false" customHeight="false" outlineLevel="0" collapsed="false">
      <c r="D618" s="26"/>
    </row>
    <row r="619" customFormat="false" ht="15.75" hidden="false" customHeight="false" outlineLevel="0" collapsed="false">
      <c r="D619" s="26"/>
    </row>
    <row r="620" customFormat="false" ht="15.75" hidden="false" customHeight="false" outlineLevel="0" collapsed="false">
      <c r="D620" s="26"/>
    </row>
    <row r="621" customFormat="false" ht="15.75" hidden="false" customHeight="false" outlineLevel="0" collapsed="false">
      <c r="D621" s="26"/>
    </row>
    <row r="622" customFormat="false" ht="15.75" hidden="false" customHeight="false" outlineLevel="0" collapsed="false">
      <c r="D622" s="26"/>
    </row>
    <row r="623" customFormat="false" ht="15.75" hidden="false" customHeight="false" outlineLevel="0" collapsed="false">
      <c r="D623" s="26"/>
    </row>
    <row r="624" customFormat="false" ht="15.75" hidden="false" customHeight="false" outlineLevel="0" collapsed="false">
      <c r="D624" s="26"/>
    </row>
    <row r="625" customFormat="false" ht="15.75" hidden="false" customHeight="false" outlineLevel="0" collapsed="false">
      <c r="D625" s="26"/>
    </row>
    <row r="626" customFormat="false" ht="15.75" hidden="false" customHeight="false" outlineLevel="0" collapsed="false">
      <c r="D626" s="26"/>
    </row>
    <row r="627" customFormat="false" ht="15.75" hidden="false" customHeight="false" outlineLevel="0" collapsed="false">
      <c r="D627" s="26"/>
    </row>
    <row r="628" customFormat="false" ht="15.75" hidden="false" customHeight="false" outlineLevel="0" collapsed="false">
      <c r="D628" s="26"/>
    </row>
    <row r="629" customFormat="false" ht="15.75" hidden="false" customHeight="false" outlineLevel="0" collapsed="false">
      <c r="D629" s="26"/>
    </row>
    <row r="630" customFormat="false" ht="15.75" hidden="false" customHeight="false" outlineLevel="0" collapsed="false">
      <c r="D630" s="26"/>
    </row>
    <row r="631" customFormat="false" ht="15.75" hidden="false" customHeight="false" outlineLevel="0" collapsed="false">
      <c r="D631" s="26"/>
    </row>
    <row r="632" customFormat="false" ht="15.75" hidden="false" customHeight="false" outlineLevel="0" collapsed="false">
      <c r="D632" s="26"/>
    </row>
    <row r="633" customFormat="false" ht="15.75" hidden="false" customHeight="false" outlineLevel="0" collapsed="false">
      <c r="D633" s="26"/>
    </row>
    <row r="634" customFormat="false" ht="15.75" hidden="false" customHeight="false" outlineLevel="0" collapsed="false">
      <c r="D634" s="26"/>
    </row>
    <row r="635" customFormat="false" ht="15.75" hidden="false" customHeight="false" outlineLevel="0" collapsed="false">
      <c r="D635" s="26"/>
    </row>
    <row r="636" customFormat="false" ht="15.75" hidden="false" customHeight="false" outlineLevel="0" collapsed="false">
      <c r="D636" s="26"/>
    </row>
    <row r="637" customFormat="false" ht="15.75" hidden="false" customHeight="false" outlineLevel="0" collapsed="false">
      <c r="D637" s="26"/>
    </row>
    <row r="638" customFormat="false" ht="15.75" hidden="false" customHeight="false" outlineLevel="0" collapsed="false">
      <c r="D638" s="26"/>
    </row>
    <row r="639" customFormat="false" ht="15.75" hidden="false" customHeight="false" outlineLevel="0" collapsed="false">
      <c r="D639" s="26"/>
    </row>
    <row r="640" customFormat="false" ht="15.75" hidden="false" customHeight="false" outlineLevel="0" collapsed="false">
      <c r="D640" s="26"/>
    </row>
    <row r="641" customFormat="false" ht="15.75" hidden="false" customHeight="false" outlineLevel="0" collapsed="false">
      <c r="D641" s="26"/>
    </row>
    <row r="642" customFormat="false" ht="15.75" hidden="false" customHeight="false" outlineLevel="0" collapsed="false">
      <c r="D642" s="26"/>
    </row>
    <row r="643" customFormat="false" ht="15.75" hidden="false" customHeight="false" outlineLevel="0" collapsed="false">
      <c r="D643" s="26"/>
    </row>
    <row r="644" customFormat="false" ht="15.75" hidden="false" customHeight="false" outlineLevel="0" collapsed="false">
      <c r="D644" s="26"/>
    </row>
    <row r="645" customFormat="false" ht="15.75" hidden="false" customHeight="false" outlineLevel="0" collapsed="false">
      <c r="D645" s="26"/>
    </row>
    <row r="646" customFormat="false" ht="15.75" hidden="false" customHeight="false" outlineLevel="0" collapsed="false">
      <c r="D646" s="26"/>
    </row>
    <row r="647" customFormat="false" ht="15.75" hidden="false" customHeight="false" outlineLevel="0" collapsed="false">
      <c r="D647" s="26"/>
    </row>
    <row r="648" customFormat="false" ht="15.75" hidden="false" customHeight="false" outlineLevel="0" collapsed="false">
      <c r="D648" s="26"/>
    </row>
    <row r="649" customFormat="false" ht="15.75" hidden="false" customHeight="false" outlineLevel="0" collapsed="false">
      <c r="D649" s="26"/>
    </row>
    <row r="650" customFormat="false" ht="15.75" hidden="false" customHeight="false" outlineLevel="0" collapsed="false">
      <c r="D650" s="26"/>
    </row>
    <row r="651" customFormat="false" ht="15.75" hidden="false" customHeight="false" outlineLevel="0" collapsed="false">
      <c r="D651" s="26"/>
    </row>
    <row r="652" customFormat="false" ht="15.75" hidden="false" customHeight="false" outlineLevel="0" collapsed="false">
      <c r="D652" s="26"/>
    </row>
    <row r="653" customFormat="false" ht="15.75" hidden="false" customHeight="false" outlineLevel="0" collapsed="false">
      <c r="D653" s="26"/>
    </row>
    <row r="654" customFormat="false" ht="15.75" hidden="false" customHeight="false" outlineLevel="0" collapsed="false">
      <c r="D654" s="26"/>
    </row>
    <row r="655" customFormat="false" ht="15.75" hidden="false" customHeight="false" outlineLevel="0" collapsed="false">
      <c r="D655" s="26"/>
    </row>
    <row r="656" customFormat="false" ht="15.75" hidden="false" customHeight="false" outlineLevel="0" collapsed="false">
      <c r="D656" s="26"/>
    </row>
    <row r="657" customFormat="false" ht="15.75" hidden="false" customHeight="false" outlineLevel="0" collapsed="false">
      <c r="D657" s="26"/>
    </row>
    <row r="658" customFormat="false" ht="15.75" hidden="false" customHeight="false" outlineLevel="0" collapsed="false">
      <c r="D658" s="26"/>
    </row>
    <row r="659" customFormat="false" ht="15.75" hidden="false" customHeight="false" outlineLevel="0" collapsed="false">
      <c r="D659" s="26"/>
    </row>
    <row r="660" customFormat="false" ht="15.75" hidden="false" customHeight="false" outlineLevel="0" collapsed="false">
      <c r="D660" s="26"/>
    </row>
    <row r="661" customFormat="false" ht="15.75" hidden="false" customHeight="false" outlineLevel="0" collapsed="false">
      <c r="D661" s="26"/>
    </row>
    <row r="662" customFormat="false" ht="15.75" hidden="false" customHeight="false" outlineLevel="0" collapsed="false">
      <c r="D662" s="26"/>
    </row>
    <row r="663" customFormat="false" ht="15.75" hidden="false" customHeight="false" outlineLevel="0" collapsed="false">
      <c r="D663" s="26"/>
    </row>
    <row r="664" customFormat="false" ht="15.75" hidden="false" customHeight="false" outlineLevel="0" collapsed="false">
      <c r="D664" s="26"/>
    </row>
    <row r="665" customFormat="false" ht="15.75" hidden="false" customHeight="false" outlineLevel="0" collapsed="false">
      <c r="D665" s="26"/>
    </row>
    <row r="666" customFormat="false" ht="15.75" hidden="false" customHeight="false" outlineLevel="0" collapsed="false">
      <c r="D666" s="26"/>
    </row>
    <row r="667" customFormat="false" ht="15.75" hidden="false" customHeight="false" outlineLevel="0" collapsed="false">
      <c r="D667" s="26"/>
    </row>
    <row r="668" customFormat="false" ht="15.75" hidden="false" customHeight="false" outlineLevel="0" collapsed="false">
      <c r="D668" s="26"/>
    </row>
    <row r="669" customFormat="false" ht="15.75" hidden="false" customHeight="false" outlineLevel="0" collapsed="false">
      <c r="D669" s="26"/>
    </row>
    <row r="670" customFormat="false" ht="15.75" hidden="false" customHeight="false" outlineLevel="0" collapsed="false">
      <c r="D670" s="26"/>
    </row>
    <row r="671" customFormat="false" ht="15.75" hidden="false" customHeight="false" outlineLevel="0" collapsed="false">
      <c r="D671" s="26"/>
    </row>
    <row r="672" customFormat="false" ht="15.75" hidden="false" customHeight="false" outlineLevel="0" collapsed="false">
      <c r="D672" s="26"/>
    </row>
    <row r="673" customFormat="false" ht="15.75" hidden="false" customHeight="false" outlineLevel="0" collapsed="false">
      <c r="D673" s="26"/>
    </row>
    <row r="674" customFormat="false" ht="15.75" hidden="false" customHeight="false" outlineLevel="0" collapsed="false">
      <c r="D674" s="26"/>
    </row>
    <row r="675" customFormat="false" ht="15.75" hidden="false" customHeight="false" outlineLevel="0" collapsed="false">
      <c r="D675" s="26"/>
    </row>
    <row r="676" customFormat="false" ht="15.75" hidden="false" customHeight="false" outlineLevel="0" collapsed="false">
      <c r="D676" s="26"/>
    </row>
    <row r="677" customFormat="false" ht="15.75" hidden="false" customHeight="false" outlineLevel="0" collapsed="false">
      <c r="D677" s="26"/>
    </row>
    <row r="678" customFormat="false" ht="15.75" hidden="false" customHeight="false" outlineLevel="0" collapsed="false">
      <c r="D678" s="26"/>
    </row>
    <row r="679" customFormat="false" ht="15.75" hidden="false" customHeight="false" outlineLevel="0" collapsed="false">
      <c r="D679" s="26"/>
    </row>
    <row r="680" customFormat="false" ht="15.75" hidden="false" customHeight="false" outlineLevel="0" collapsed="false">
      <c r="D680" s="26"/>
    </row>
    <row r="681" customFormat="false" ht="15.75" hidden="false" customHeight="false" outlineLevel="0" collapsed="false">
      <c r="D681" s="26"/>
    </row>
    <row r="682" customFormat="false" ht="15.75" hidden="false" customHeight="false" outlineLevel="0" collapsed="false">
      <c r="D682" s="26"/>
    </row>
    <row r="683" customFormat="false" ht="15.75" hidden="false" customHeight="false" outlineLevel="0" collapsed="false">
      <c r="D683" s="26"/>
    </row>
    <row r="684" customFormat="false" ht="15.75" hidden="false" customHeight="false" outlineLevel="0" collapsed="false">
      <c r="D684" s="26"/>
    </row>
    <row r="685" customFormat="false" ht="15.75" hidden="false" customHeight="false" outlineLevel="0" collapsed="false">
      <c r="D685" s="26"/>
    </row>
    <row r="686" customFormat="false" ht="15.75" hidden="false" customHeight="false" outlineLevel="0" collapsed="false">
      <c r="D686" s="26"/>
    </row>
    <row r="687" customFormat="false" ht="15.75" hidden="false" customHeight="false" outlineLevel="0" collapsed="false">
      <c r="D687" s="26"/>
    </row>
    <row r="688" customFormat="false" ht="15.75" hidden="false" customHeight="false" outlineLevel="0" collapsed="false">
      <c r="D688" s="26"/>
    </row>
    <row r="689" customFormat="false" ht="15.75" hidden="false" customHeight="false" outlineLevel="0" collapsed="false">
      <c r="D689" s="26"/>
    </row>
    <row r="690" customFormat="false" ht="15.75" hidden="false" customHeight="false" outlineLevel="0" collapsed="false">
      <c r="D690" s="26"/>
    </row>
    <row r="691" customFormat="false" ht="15.75" hidden="false" customHeight="false" outlineLevel="0" collapsed="false">
      <c r="D691" s="26"/>
    </row>
    <row r="692" customFormat="false" ht="15.75" hidden="false" customHeight="false" outlineLevel="0" collapsed="false">
      <c r="D692" s="26"/>
    </row>
    <row r="693" customFormat="false" ht="15.75" hidden="false" customHeight="false" outlineLevel="0" collapsed="false">
      <c r="D693" s="26"/>
    </row>
    <row r="694" customFormat="false" ht="15.75" hidden="false" customHeight="false" outlineLevel="0" collapsed="false">
      <c r="D694" s="26"/>
    </row>
    <row r="695" customFormat="false" ht="15.75" hidden="false" customHeight="false" outlineLevel="0" collapsed="false">
      <c r="D695" s="26"/>
    </row>
    <row r="696" customFormat="false" ht="15.75" hidden="false" customHeight="false" outlineLevel="0" collapsed="false">
      <c r="D696" s="26"/>
    </row>
    <row r="697" customFormat="false" ht="15.75" hidden="false" customHeight="false" outlineLevel="0" collapsed="false">
      <c r="D697" s="26"/>
    </row>
    <row r="698" customFormat="false" ht="15.75" hidden="false" customHeight="false" outlineLevel="0" collapsed="false">
      <c r="D698" s="26"/>
    </row>
    <row r="699" customFormat="false" ht="15.75" hidden="false" customHeight="false" outlineLevel="0" collapsed="false">
      <c r="D699" s="26"/>
    </row>
    <row r="700" customFormat="false" ht="15.75" hidden="false" customHeight="false" outlineLevel="0" collapsed="false">
      <c r="D700" s="26"/>
    </row>
    <row r="701" customFormat="false" ht="15.75" hidden="false" customHeight="false" outlineLevel="0" collapsed="false">
      <c r="D701" s="26"/>
    </row>
    <row r="702" customFormat="false" ht="15.75" hidden="false" customHeight="false" outlineLevel="0" collapsed="false">
      <c r="D702" s="26"/>
    </row>
    <row r="703" customFormat="false" ht="15.75" hidden="false" customHeight="false" outlineLevel="0" collapsed="false">
      <c r="D703" s="26"/>
    </row>
    <row r="704" customFormat="false" ht="15.75" hidden="false" customHeight="false" outlineLevel="0" collapsed="false">
      <c r="D704" s="26"/>
    </row>
    <row r="705" customFormat="false" ht="15.75" hidden="false" customHeight="false" outlineLevel="0" collapsed="false">
      <c r="D705" s="26"/>
    </row>
    <row r="706" customFormat="false" ht="15.75" hidden="false" customHeight="false" outlineLevel="0" collapsed="false">
      <c r="D706" s="26"/>
    </row>
    <row r="707" customFormat="false" ht="15.75" hidden="false" customHeight="false" outlineLevel="0" collapsed="false">
      <c r="D707" s="26"/>
    </row>
    <row r="708" customFormat="false" ht="15.75" hidden="false" customHeight="false" outlineLevel="0" collapsed="false">
      <c r="D708" s="26"/>
    </row>
    <row r="709" customFormat="false" ht="15.75" hidden="false" customHeight="false" outlineLevel="0" collapsed="false">
      <c r="D709" s="26"/>
    </row>
    <row r="710" customFormat="false" ht="15.75" hidden="false" customHeight="false" outlineLevel="0" collapsed="false">
      <c r="D710" s="26"/>
    </row>
    <row r="711" customFormat="false" ht="15.75" hidden="false" customHeight="false" outlineLevel="0" collapsed="false">
      <c r="D711" s="26"/>
    </row>
    <row r="712" customFormat="false" ht="15.75" hidden="false" customHeight="false" outlineLevel="0" collapsed="false">
      <c r="D712" s="26"/>
    </row>
    <row r="713" customFormat="false" ht="15.75" hidden="false" customHeight="false" outlineLevel="0" collapsed="false">
      <c r="D713" s="26"/>
    </row>
    <row r="714" customFormat="false" ht="15.75" hidden="false" customHeight="false" outlineLevel="0" collapsed="false">
      <c r="D714" s="26"/>
    </row>
    <row r="715" customFormat="false" ht="15.75" hidden="false" customHeight="false" outlineLevel="0" collapsed="false">
      <c r="D715" s="26"/>
    </row>
    <row r="716" customFormat="false" ht="15.75" hidden="false" customHeight="false" outlineLevel="0" collapsed="false">
      <c r="D716" s="26"/>
    </row>
    <row r="717" customFormat="false" ht="15.75" hidden="false" customHeight="false" outlineLevel="0" collapsed="false">
      <c r="D717" s="26"/>
    </row>
    <row r="718" customFormat="false" ht="15.75" hidden="false" customHeight="false" outlineLevel="0" collapsed="false">
      <c r="D718" s="26"/>
    </row>
    <row r="719" customFormat="false" ht="15.75" hidden="false" customHeight="false" outlineLevel="0" collapsed="false">
      <c r="D719" s="26"/>
    </row>
    <row r="720" customFormat="false" ht="15.75" hidden="false" customHeight="false" outlineLevel="0" collapsed="false">
      <c r="D720" s="26"/>
    </row>
    <row r="721" customFormat="false" ht="15.75" hidden="false" customHeight="false" outlineLevel="0" collapsed="false">
      <c r="D721" s="26"/>
    </row>
    <row r="722" customFormat="false" ht="15.75" hidden="false" customHeight="false" outlineLevel="0" collapsed="false">
      <c r="D722" s="26"/>
    </row>
    <row r="723" customFormat="false" ht="15.75" hidden="false" customHeight="false" outlineLevel="0" collapsed="false">
      <c r="D723" s="26"/>
    </row>
    <row r="724" customFormat="false" ht="15.75" hidden="false" customHeight="false" outlineLevel="0" collapsed="false">
      <c r="D724" s="26"/>
    </row>
    <row r="725" customFormat="false" ht="15.75" hidden="false" customHeight="false" outlineLevel="0" collapsed="false">
      <c r="D725" s="26"/>
    </row>
    <row r="726" customFormat="false" ht="15.75" hidden="false" customHeight="false" outlineLevel="0" collapsed="false">
      <c r="D726" s="26"/>
    </row>
    <row r="727" customFormat="false" ht="15.75" hidden="false" customHeight="false" outlineLevel="0" collapsed="false">
      <c r="D727" s="26"/>
    </row>
    <row r="728" customFormat="false" ht="15.75" hidden="false" customHeight="false" outlineLevel="0" collapsed="false">
      <c r="D728" s="26"/>
    </row>
    <row r="729" customFormat="false" ht="15.75" hidden="false" customHeight="false" outlineLevel="0" collapsed="false">
      <c r="D729" s="26"/>
    </row>
    <row r="730" customFormat="false" ht="15.75" hidden="false" customHeight="false" outlineLevel="0" collapsed="false">
      <c r="D730" s="26"/>
    </row>
    <row r="731" customFormat="false" ht="15.75" hidden="false" customHeight="false" outlineLevel="0" collapsed="false">
      <c r="D731" s="26"/>
    </row>
    <row r="732" customFormat="false" ht="15.75" hidden="false" customHeight="false" outlineLevel="0" collapsed="false">
      <c r="D732" s="26"/>
    </row>
    <row r="733" customFormat="false" ht="15.75" hidden="false" customHeight="false" outlineLevel="0" collapsed="false">
      <c r="D733" s="26"/>
    </row>
    <row r="734" customFormat="false" ht="15.75" hidden="false" customHeight="false" outlineLevel="0" collapsed="false">
      <c r="D734" s="26"/>
    </row>
    <row r="735" customFormat="false" ht="15.75" hidden="false" customHeight="false" outlineLevel="0" collapsed="false">
      <c r="D735" s="26"/>
    </row>
    <row r="736" customFormat="false" ht="15.75" hidden="false" customHeight="false" outlineLevel="0" collapsed="false">
      <c r="D736" s="26"/>
    </row>
    <row r="737" customFormat="false" ht="15.75" hidden="false" customHeight="false" outlineLevel="0" collapsed="false">
      <c r="D737" s="26"/>
    </row>
    <row r="738" customFormat="false" ht="15.75" hidden="false" customHeight="false" outlineLevel="0" collapsed="false">
      <c r="D738" s="26"/>
    </row>
    <row r="739" customFormat="false" ht="15.75" hidden="false" customHeight="false" outlineLevel="0" collapsed="false">
      <c r="D739" s="26"/>
    </row>
    <row r="740" customFormat="false" ht="15.75" hidden="false" customHeight="false" outlineLevel="0" collapsed="false">
      <c r="D740" s="26"/>
    </row>
    <row r="741" customFormat="false" ht="15.75" hidden="false" customHeight="false" outlineLevel="0" collapsed="false">
      <c r="D741" s="26"/>
    </row>
    <row r="742" customFormat="false" ht="15.75" hidden="false" customHeight="false" outlineLevel="0" collapsed="false">
      <c r="D742" s="26"/>
    </row>
    <row r="743" customFormat="false" ht="15.75" hidden="false" customHeight="false" outlineLevel="0" collapsed="false">
      <c r="D743" s="26"/>
    </row>
    <row r="744" customFormat="false" ht="15.75" hidden="false" customHeight="false" outlineLevel="0" collapsed="false">
      <c r="D744" s="26"/>
    </row>
    <row r="745" customFormat="false" ht="15.75" hidden="false" customHeight="false" outlineLevel="0" collapsed="false">
      <c r="D745" s="26"/>
    </row>
    <row r="746" customFormat="false" ht="15.75" hidden="false" customHeight="false" outlineLevel="0" collapsed="false">
      <c r="D746" s="26"/>
    </row>
    <row r="747" customFormat="false" ht="15.75" hidden="false" customHeight="false" outlineLevel="0" collapsed="false">
      <c r="D747" s="26"/>
    </row>
    <row r="748" customFormat="false" ht="15.75" hidden="false" customHeight="false" outlineLevel="0" collapsed="false">
      <c r="D748" s="26"/>
    </row>
    <row r="749" customFormat="false" ht="15.75" hidden="false" customHeight="false" outlineLevel="0" collapsed="false">
      <c r="D749" s="26"/>
    </row>
    <row r="750" customFormat="false" ht="15.75" hidden="false" customHeight="false" outlineLevel="0" collapsed="false">
      <c r="D750" s="26"/>
    </row>
    <row r="751" customFormat="false" ht="15.75" hidden="false" customHeight="false" outlineLevel="0" collapsed="false">
      <c r="D751" s="26"/>
    </row>
    <row r="752" customFormat="false" ht="15.75" hidden="false" customHeight="false" outlineLevel="0" collapsed="false">
      <c r="D752" s="26"/>
    </row>
    <row r="753" customFormat="false" ht="15.75" hidden="false" customHeight="false" outlineLevel="0" collapsed="false">
      <c r="D753" s="26"/>
    </row>
    <row r="754" customFormat="false" ht="15.75" hidden="false" customHeight="false" outlineLevel="0" collapsed="false">
      <c r="D754" s="26"/>
    </row>
    <row r="755" customFormat="false" ht="15.75" hidden="false" customHeight="false" outlineLevel="0" collapsed="false">
      <c r="D755" s="26"/>
    </row>
    <row r="756" customFormat="false" ht="15.75" hidden="false" customHeight="false" outlineLevel="0" collapsed="false">
      <c r="D756" s="26"/>
    </row>
    <row r="757" customFormat="false" ht="15.75" hidden="false" customHeight="false" outlineLevel="0" collapsed="false">
      <c r="D757" s="26"/>
    </row>
    <row r="758" customFormat="false" ht="15.75" hidden="false" customHeight="false" outlineLevel="0" collapsed="false">
      <c r="D758" s="26"/>
    </row>
    <row r="759" customFormat="false" ht="15.75" hidden="false" customHeight="false" outlineLevel="0" collapsed="false">
      <c r="D759" s="26"/>
    </row>
    <row r="760" customFormat="false" ht="15.75" hidden="false" customHeight="false" outlineLevel="0" collapsed="false">
      <c r="D760" s="26"/>
    </row>
    <row r="761" customFormat="false" ht="15.75" hidden="false" customHeight="false" outlineLevel="0" collapsed="false">
      <c r="D761" s="26"/>
    </row>
    <row r="762" customFormat="false" ht="15.75" hidden="false" customHeight="false" outlineLevel="0" collapsed="false">
      <c r="D762" s="26"/>
    </row>
    <row r="763" customFormat="false" ht="15.75" hidden="false" customHeight="false" outlineLevel="0" collapsed="false">
      <c r="D763" s="26"/>
    </row>
    <row r="764" customFormat="false" ht="15.75" hidden="false" customHeight="false" outlineLevel="0" collapsed="false">
      <c r="D764" s="26"/>
    </row>
    <row r="765" customFormat="false" ht="15.75" hidden="false" customHeight="false" outlineLevel="0" collapsed="false">
      <c r="D765" s="26"/>
    </row>
    <row r="766" customFormat="false" ht="15.75" hidden="false" customHeight="false" outlineLevel="0" collapsed="false">
      <c r="D766" s="26"/>
    </row>
    <row r="767" customFormat="false" ht="15.75" hidden="false" customHeight="false" outlineLevel="0" collapsed="false">
      <c r="D767" s="26"/>
    </row>
    <row r="768" customFormat="false" ht="15.75" hidden="false" customHeight="false" outlineLevel="0" collapsed="false">
      <c r="D768" s="26"/>
    </row>
    <row r="769" customFormat="false" ht="15.75" hidden="false" customHeight="false" outlineLevel="0" collapsed="false">
      <c r="D769" s="26"/>
    </row>
    <row r="770" customFormat="false" ht="15.75" hidden="false" customHeight="false" outlineLevel="0" collapsed="false">
      <c r="D770" s="26"/>
    </row>
    <row r="771" customFormat="false" ht="15.75" hidden="false" customHeight="false" outlineLevel="0" collapsed="false">
      <c r="D771" s="26"/>
    </row>
    <row r="772" customFormat="false" ht="15.75" hidden="false" customHeight="false" outlineLevel="0" collapsed="false">
      <c r="D772" s="26"/>
    </row>
    <row r="773" customFormat="false" ht="15.75" hidden="false" customHeight="false" outlineLevel="0" collapsed="false">
      <c r="D773" s="26"/>
    </row>
    <row r="774" customFormat="false" ht="15.75" hidden="false" customHeight="false" outlineLevel="0" collapsed="false">
      <c r="D774" s="26"/>
    </row>
    <row r="775" customFormat="false" ht="15.75" hidden="false" customHeight="false" outlineLevel="0" collapsed="false">
      <c r="D775" s="26"/>
    </row>
    <row r="776" customFormat="false" ht="15.75" hidden="false" customHeight="false" outlineLevel="0" collapsed="false">
      <c r="D776" s="26"/>
    </row>
    <row r="777" customFormat="false" ht="15.75" hidden="false" customHeight="false" outlineLevel="0" collapsed="false">
      <c r="D777" s="26"/>
    </row>
    <row r="778" customFormat="false" ht="15.75" hidden="false" customHeight="false" outlineLevel="0" collapsed="false">
      <c r="D778" s="26"/>
    </row>
    <row r="779" customFormat="false" ht="15.75" hidden="false" customHeight="false" outlineLevel="0" collapsed="false">
      <c r="D779" s="26"/>
    </row>
    <row r="780" customFormat="false" ht="15.75" hidden="false" customHeight="false" outlineLevel="0" collapsed="false">
      <c r="D780" s="26"/>
    </row>
    <row r="781" customFormat="false" ht="15.75" hidden="false" customHeight="false" outlineLevel="0" collapsed="false">
      <c r="D781" s="26"/>
    </row>
    <row r="782" customFormat="false" ht="15.75" hidden="false" customHeight="false" outlineLevel="0" collapsed="false">
      <c r="D782" s="26"/>
    </row>
    <row r="783" customFormat="false" ht="15.75" hidden="false" customHeight="false" outlineLevel="0" collapsed="false">
      <c r="D783" s="26"/>
    </row>
    <row r="784" customFormat="false" ht="15.75" hidden="false" customHeight="false" outlineLevel="0" collapsed="false">
      <c r="D784" s="26"/>
    </row>
    <row r="785" customFormat="false" ht="15.75" hidden="false" customHeight="false" outlineLevel="0" collapsed="false">
      <c r="D785" s="26"/>
    </row>
    <row r="786" customFormat="false" ht="15.75" hidden="false" customHeight="false" outlineLevel="0" collapsed="false">
      <c r="D786" s="26"/>
    </row>
    <row r="787" customFormat="false" ht="15.75" hidden="false" customHeight="false" outlineLevel="0" collapsed="false">
      <c r="D787" s="26"/>
    </row>
    <row r="788" customFormat="false" ht="15.75" hidden="false" customHeight="false" outlineLevel="0" collapsed="false">
      <c r="D788" s="26"/>
    </row>
    <row r="789" customFormat="false" ht="15.75" hidden="false" customHeight="false" outlineLevel="0" collapsed="false">
      <c r="D789" s="26"/>
    </row>
    <row r="790" customFormat="false" ht="15.75" hidden="false" customHeight="false" outlineLevel="0" collapsed="false">
      <c r="D790" s="26"/>
    </row>
    <row r="791" customFormat="false" ht="15.75" hidden="false" customHeight="false" outlineLevel="0" collapsed="false">
      <c r="D791" s="26"/>
    </row>
    <row r="792" customFormat="false" ht="15.75" hidden="false" customHeight="false" outlineLevel="0" collapsed="false">
      <c r="D792" s="26"/>
    </row>
    <row r="793" customFormat="false" ht="15.75" hidden="false" customHeight="false" outlineLevel="0" collapsed="false">
      <c r="D793" s="26"/>
    </row>
    <row r="794" customFormat="false" ht="15.75" hidden="false" customHeight="false" outlineLevel="0" collapsed="false">
      <c r="D794" s="26"/>
    </row>
    <row r="795" customFormat="false" ht="15.75" hidden="false" customHeight="false" outlineLevel="0" collapsed="false">
      <c r="D795" s="26"/>
    </row>
    <row r="796" customFormat="false" ht="15.75" hidden="false" customHeight="false" outlineLevel="0" collapsed="false">
      <c r="D796" s="26"/>
    </row>
    <row r="797" customFormat="false" ht="15.75" hidden="false" customHeight="false" outlineLevel="0" collapsed="false">
      <c r="D797" s="26"/>
    </row>
    <row r="798" customFormat="false" ht="15.75" hidden="false" customHeight="false" outlineLevel="0" collapsed="false">
      <c r="D798" s="26"/>
    </row>
    <row r="799" customFormat="false" ht="15.75" hidden="false" customHeight="false" outlineLevel="0" collapsed="false">
      <c r="D799" s="26"/>
    </row>
    <row r="800" customFormat="false" ht="15.75" hidden="false" customHeight="false" outlineLevel="0" collapsed="false">
      <c r="D800" s="26"/>
    </row>
    <row r="801" customFormat="false" ht="15.75" hidden="false" customHeight="false" outlineLevel="0" collapsed="false">
      <c r="D801" s="26"/>
    </row>
    <row r="802" customFormat="false" ht="15.75" hidden="false" customHeight="false" outlineLevel="0" collapsed="false">
      <c r="D802" s="26"/>
    </row>
    <row r="803" customFormat="false" ht="15.75" hidden="false" customHeight="false" outlineLevel="0" collapsed="false">
      <c r="D803" s="26"/>
    </row>
    <row r="804" customFormat="false" ht="15.75" hidden="false" customHeight="false" outlineLevel="0" collapsed="false">
      <c r="D804" s="26"/>
    </row>
    <row r="805" customFormat="false" ht="15.75" hidden="false" customHeight="false" outlineLevel="0" collapsed="false">
      <c r="D805" s="26"/>
    </row>
    <row r="806" customFormat="false" ht="15.75" hidden="false" customHeight="false" outlineLevel="0" collapsed="false">
      <c r="D806" s="26"/>
    </row>
    <row r="807" customFormat="false" ht="15.75" hidden="false" customHeight="false" outlineLevel="0" collapsed="false">
      <c r="D807" s="26"/>
    </row>
    <row r="808" customFormat="false" ht="15.75" hidden="false" customHeight="false" outlineLevel="0" collapsed="false">
      <c r="D808" s="26"/>
    </row>
    <row r="809" customFormat="false" ht="15.75" hidden="false" customHeight="false" outlineLevel="0" collapsed="false">
      <c r="D809" s="26"/>
    </row>
    <row r="810" customFormat="false" ht="15.75" hidden="false" customHeight="false" outlineLevel="0" collapsed="false">
      <c r="D810" s="26"/>
    </row>
    <row r="811" customFormat="false" ht="15.75" hidden="false" customHeight="false" outlineLevel="0" collapsed="false">
      <c r="D811" s="26"/>
    </row>
    <row r="812" customFormat="false" ht="15.75" hidden="false" customHeight="false" outlineLevel="0" collapsed="false">
      <c r="D812" s="26"/>
    </row>
    <row r="813" customFormat="false" ht="15.75" hidden="false" customHeight="false" outlineLevel="0" collapsed="false">
      <c r="D813" s="26"/>
    </row>
    <row r="814" customFormat="false" ht="15.75" hidden="false" customHeight="false" outlineLevel="0" collapsed="false">
      <c r="D814" s="26"/>
    </row>
    <row r="815" customFormat="false" ht="15.75" hidden="false" customHeight="false" outlineLevel="0" collapsed="false">
      <c r="D815" s="26"/>
    </row>
    <row r="816" customFormat="false" ht="15.75" hidden="false" customHeight="false" outlineLevel="0" collapsed="false">
      <c r="D816" s="26"/>
    </row>
    <row r="817" customFormat="false" ht="15.75" hidden="false" customHeight="false" outlineLevel="0" collapsed="false">
      <c r="D817" s="26"/>
    </row>
    <row r="818" customFormat="false" ht="15.75" hidden="false" customHeight="false" outlineLevel="0" collapsed="false">
      <c r="D818" s="26"/>
    </row>
    <row r="819" customFormat="false" ht="15.75" hidden="false" customHeight="false" outlineLevel="0" collapsed="false">
      <c r="D819" s="26"/>
    </row>
    <row r="820" customFormat="false" ht="15.75" hidden="false" customHeight="false" outlineLevel="0" collapsed="false">
      <c r="D820" s="26"/>
    </row>
    <row r="821" customFormat="false" ht="15.75" hidden="false" customHeight="false" outlineLevel="0" collapsed="false">
      <c r="D821" s="26"/>
    </row>
    <row r="822" customFormat="false" ht="15.75" hidden="false" customHeight="false" outlineLevel="0" collapsed="false">
      <c r="D822" s="26"/>
    </row>
    <row r="823" customFormat="false" ht="15.75" hidden="false" customHeight="false" outlineLevel="0" collapsed="false">
      <c r="D823" s="26"/>
    </row>
    <row r="824" customFormat="false" ht="15.75" hidden="false" customHeight="false" outlineLevel="0" collapsed="false">
      <c r="D824" s="26"/>
    </row>
    <row r="825" customFormat="false" ht="15.75" hidden="false" customHeight="false" outlineLevel="0" collapsed="false">
      <c r="D825" s="26"/>
    </row>
    <row r="826" customFormat="false" ht="15.75" hidden="false" customHeight="false" outlineLevel="0" collapsed="false">
      <c r="D826" s="26"/>
    </row>
    <row r="827" customFormat="false" ht="15.75" hidden="false" customHeight="false" outlineLevel="0" collapsed="false">
      <c r="D827" s="26"/>
    </row>
    <row r="828" customFormat="false" ht="15.75" hidden="false" customHeight="false" outlineLevel="0" collapsed="false">
      <c r="D828" s="26"/>
    </row>
    <row r="829" customFormat="false" ht="15.75" hidden="false" customHeight="false" outlineLevel="0" collapsed="false">
      <c r="D829" s="26"/>
    </row>
    <row r="830" customFormat="false" ht="15.75" hidden="false" customHeight="false" outlineLevel="0" collapsed="false">
      <c r="D830" s="26"/>
    </row>
    <row r="831" customFormat="false" ht="15.75" hidden="false" customHeight="false" outlineLevel="0" collapsed="false">
      <c r="D831" s="26"/>
    </row>
    <row r="832" customFormat="false" ht="15.75" hidden="false" customHeight="false" outlineLevel="0" collapsed="false">
      <c r="D832" s="26"/>
    </row>
    <row r="833" customFormat="false" ht="15.75" hidden="false" customHeight="false" outlineLevel="0" collapsed="false">
      <c r="D833" s="26"/>
    </row>
    <row r="834" customFormat="false" ht="15.75" hidden="false" customHeight="false" outlineLevel="0" collapsed="false">
      <c r="D834" s="26"/>
    </row>
    <row r="835" customFormat="false" ht="15.75" hidden="false" customHeight="false" outlineLevel="0" collapsed="false">
      <c r="D835" s="26"/>
    </row>
    <row r="836" customFormat="false" ht="15.75" hidden="false" customHeight="false" outlineLevel="0" collapsed="false">
      <c r="D836" s="26"/>
    </row>
    <row r="837" customFormat="false" ht="15.75" hidden="false" customHeight="false" outlineLevel="0" collapsed="false">
      <c r="D837" s="26"/>
    </row>
    <row r="838" customFormat="false" ht="15.75" hidden="false" customHeight="false" outlineLevel="0" collapsed="false">
      <c r="D838" s="26"/>
    </row>
    <row r="839" customFormat="false" ht="15.75" hidden="false" customHeight="false" outlineLevel="0" collapsed="false">
      <c r="D839" s="26"/>
    </row>
    <row r="840" customFormat="false" ht="15.75" hidden="false" customHeight="false" outlineLevel="0" collapsed="false">
      <c r="D840" s="26"/>
    </row>
    <row r="841" customFormat="false" ht="15.75" hidden="false" customHeight="false" outlineLevel="0" collapsed="false">
      <c r="D841" s="26"/>
    </row>
    <row r="842" customFormat="false" ht="15.75" hidden="false" customHeight="false" outlineLevel="0" collapsed="false">
      <c r="D842" s="26"/>
    </row>
    <row r="843" customFormat="false" ht="15.75" hidden="false" customHeight="false" outlineLevel="0" collapsed="false">
      <c r="D843" s="26"/>
    </row>
    <row r="844" customFormat="false" ht="15.75" hidden="false" customHeight="false" outlineLevel="0" collapsed="false">
      <c r="D844" s="26"/>
    </row>
    <row r="845" customFormat="false" ht="15.75" hidden="false" customHeight="false" outlineLevel="0" collapsed="false">
      <c r="D845" s="26"/>
    </row>
    <row r="846" customFormat="false" ht="15.75" hidden="false" customHeight="false" outlineLevel="0" collapsed="false">
      <c r="D846" s="26"/>
    </row>
    <row r="847" customFormat="false" ht="15.75" hidden="false" customHeight="false" outlineLevel="0" collapsed="false">
      <c r="D847" s="26"/>
    </row>
    <row r="848" customFormat="false" ht="15.75" hidden="false" customHeight="false" outlineLevel="0" collapsed="false">
      <c r="D848" s="26"/>
    </row>
    <row r="849" customFormat="false" ht="15.75" hidden="false" customHeight="false" outlineLevel="0" collapsed="false">
      <c r="D849" s="26"/>
    </row>
    <row r="850" customFormat="false" ht="15.75" hidden="false" customHeight="false" outlineLevel="0" collapsed="false">
      <c r="D850" s="26"/>
    </row>
    <row r="851" customFormat="false" ht="15.75" hidden="false" customHeight="false" outlineLevel="0" collapsed="false">
      <c r="D851" s="26"/>
    </row>
    <row r="852" customFormat="false" ht="15.75" hidden="false" customHeight="false" outlineLevel="0" collapsed="false">
      <c r="D852" s="26"/>
    </row>
    <row r="853" customFormat="false" ht="15.75" hidden="false" customHeight="false" outlineLevel="0" collapsed="false">
      <c r="D853" s="26"/>
    </row>
    <row r="854" customFormat="false" ht="15.75" hidden="false" customHeight="false" outlineLevel="0" collapsed="false">
      <c r="D854" s="26"/>
    </row>
    <row r="855" customFormat="false" ht="15.75" hidden="false" customHeight="false" outlineLevel="0" collapsed="false">
      <c r="D855" s="26"/>
    </row>
    <row r="856" customFormat="false" ht="15.75" hidden="false" customHeight="false" outlineLevel="0" collapsed="false">
      <c r="D856" s="26"/>
    </row>
    <row r="857" customFormat="false" ht="15.75" hidden="false" customHeight="false" outlineLevel="0" collapsed="false">
      <c r="D857" s="26"/>
    </row>
    <row r="858" customFormat="false" ht="15.75" hidden="false" customHeight="false" outlineLevel="0" collapsed="false">
      <c r="D858" s="26"/>
    </row>
    <row r="859" customFormat="false" ht="15.75" hidden="false" customHeight="false" outlineLevel="0" collapsed="false">
      <c r="D859" s="26"/>
    </row>
    <row r="860" customFormat="false" ht="15.75" hidden="false" customHeight="false" outlineLevel="0" collapsed="false">
      <c r="D860" s="26"/>
    </row>
    <row r="861" customFormat="false" ht="15.75" hidden="false" customHeight="false" outlineLevel="0" collapsed="false">
      <c r="D861" s="26"/>
    </row>
    <row r="862" customFormat="false" ht="15.75" hidden="false" customHeight="false" outlineLevel="0" collapsed="false">
      <c r="D862" s="26"/>
    </row>
    <row r="863" customFormat="false" ht="15.75" hidden="false" customHeight="false" outlineLevel="0" collapsed="false">
      <c r="D863" s="26"/>
    </row>
    <row r="864" customFormat="false" ht="15.75" hidden="false" customHeight="false" outlineLevel="0" collapsed="false">
      <c r="D864" s="26"/>
    </row>
    <row r="865" customFormat="false" ht="15.75" hidden="false" customHeight="false" outlineLevel="0" collapsed="false">
      <c r="D865" s="26"/>
    </row>
    <row r="866" customFormat="false" ht="15.75" hidden="false" customHeight="false" outlineLevel="0" collapsed="false">
      <c r="D866" s="26"/>
    </row>
    <row r="867" customFormat="false" ht="15.75" hidden="false" customHeight="false" outlineLevel="0" collapsed="false">
      <c r="D867" s="26"/>
    </row>
    <row r="868" customFormat="false" ht="15.75" hidden="false" customHeight="false" outlineLevel="0" collapsed="false">
      <c r="D868" s="26"/>
    </row>
    <row r="869" customFormat="false" ht="15.75" hidden="false" customHeight="false" outlineLevel="0" collapsed="false">
      <c r="D869" s="26"/>
    </row>
    <row r="870" customFormat="false" ht="15.75" hidden="false" customHeight="false" outlineLevel="0" collapsed="false">
      <c r="D870" s="26"/>
    </row>
    <row r="871" customFormat="false" ht="15.75" hidden="false" customHeight="false" outlineLevel="0" collapsed="false">
      <c r="D871" s="26"/>
    </row>
    <row r="872" customFormat="false" ht="15.75" hidden="false" customHeight="false" outlineLevel="0" collapsed="false">
      <c r="D872" s="26"/>
    </row>
    <row r="873" customFormat="false" ht="15.75" hidden="false" customHeight="false" outlineLevel="0" collapsed="false">
      <c r="D873" s="26"/>
    </row>
    <row r="874" customFormat="false" ht="15.75" hidden="false" customHeight="false" outlineLevel="0" collapsed="false">
      <c r="D874" s="26"/>
    </row>
    <row r="875" customFormat="false" ht="15.75" hidden="false" customHeight="false" outlineLevel="0" collapsed="false">
      <c r="D875" s="26"/>
    </row>
    <row r="876" customFormat="false" ht="15.75" hidden="false" customHeight="false" outlineLevel="0" collapsed="false">
      <c r="D876" s="26"/>
    </row>
    <row r="877" customFormat="false" ht="15.75" hidden="false" customHeight="false" outlineLevel="0" collapsed="false">
      <c r="D877" s="26"/>
    </row>
    <row r="878" customFormat="false" ht="15.75" hidden="false" customHeight="false" outlineLevel="0" collapsed="false">
      <c r="D878" s="26"/>
    </row>
    <row r="879" customFormat="false" ht="15.75" hidden="false" customHeight="false" outlineLevel="0" collapsed="false">
      <c r="D879" s="26"/>
    </row>
    <row r="880" customFormat="false" ht="15.75" hidden="false" customHeight="false" outlineLevel="0" collapsed="false">
      <c r="D880" s="26"/>
    </row>
    <row r="881" customFormat="false" ht="15.75" hidden="false" customHeight="false" outlineLevel="0" collapsed="false">
      <c r="D881" s="26"/>
    </row>
    <row r="882" customFormat="false" ht="15.75" hidden="false" customHeight="false" outlineLevel="0" collapsed="false">
      <c r="D882" s="26"/>
    </row>
    <row r="883" customFormat="false" ht="15.75" hidden="false" customHeight="false" outlineLevel="0" collapsed="false">
      <c r="D883" s="26"/>
    </row>
    <row r="884" customFormat="false" ht="15.75" hidden="false" customHeight="false" outlineLevel="0" collapsed="false">
      <c r="D884" s="26"/>
    </row>
    <row r="885" customFormat="false" ht="15.75" hidden="false" customHeight="false" outlineLevel="0" collapsed="false">
      <c r="D885" s="26"/>
    </row>
    <row r="886" customFormat="false" ht="15.75" hidden="false" customHeight="false" outlineLevel="0" collapsed="false">
      <c r="D886" s="26"/>
    </row>
    <row r="887" customFormat="false" ht="15.75" hidden="false" customHeight="false" outlineLevel="0" collapsed="false">
      <c r="D887" s="26"/>
    </row>
    <row r="888" customFormat="false" ht="15.75" hidden="false" customHeight="false" outlineLevel="0" collapsed="false">
      <c r="D888" s="26"/>
    </row>
    <row r="889" customFormat="false" ht="15.75" hidden="false" customHeight="false" outlineLevel="0" collapsed="false">
      <c r="D889" s="26"/>
    </row>
    <row r="890" customFormat="false" ht="15.75" hidden="false" customHeight="false" outlineLevel="0" collapsed="false">
      <c r="D890" s="26"/>
    </row>
    <row r="891" customFormat="false" ht="15.75" hidden="false" customHeight="false" outlineLevel="0" collapsed="false">
      <c r="D891" s="26"/>
    </row>
    <row r="892" customFormat="false" ht="15.75" hidden="false" customHeight="false" outlineLevel="0" collapsed="false">
      <c r="D892" s="26"/>
    </row>
    <row r="893" customFormat="false" ht="15.75" hidden="false" customHeight="false" outlineLevel="0" collapsed="false">
      <c r="D893" s="26"/>
    </row>
    <row r="894" customFormat="false" ht="15.75" hidden="false" customHeight="false" outlineLevel="0" collapsed="false">
      <c r="D894" s="26"/>
    </row>
    <row r="895" customFormat="false" ht="15.75" hidden="false" customHeight="false" outlineLevel="0" collapsed="false">
      <c r="D895" s="26"/>
    </row>
    <row r="896" customFormat="false" ht="15.75" hidden="false" customHeight="false" outlineLevel="0" collapsed="false">
      <c r="D896" s="26"/>
    </row>
    <row r="897" customFormat="false" ht="15.75" hidden="false" customHeight="false" outlineLevel="0" collapsed="false">
      <c r="D897" s="26"/>
    </row>
    <row r="898" customFormat="false" ht="15.75" hidden="false" customHeight="false" outlineLevel="0" collapsed="false">
      <c r="D898" s="26"/>
    </row>
    <row r="899" customFormat="false" ht="15.75" hidden="false" customHeight="false" outlineLevel="0" collapsed="false">
      <c r="D899" s="26"/>
    </row>
    <row r="900" customFormat="false" ht="15.75" hidden="false" customHeight="false" outlineLevel="0" collapsed="false">
      <c r="D900" s="26"/>
    </row>
    <row r="901" customFormat="false" ht="15.75" hidden="false" customHeight="false" outlineLevel="0" collapsed="false">
      <c r="D901" s="26"/>
    </row>
    <row r="902" customFormat="false" ht="15.75" hidden="false" customHeight="false" outlineLevel="0" collapsed="false">
      <c r="D902" s="26"/>
    </row>
    <row r="903" customFormat="false" ht="15.75" hidden="false" customHeight="false" outlineLevel="0" collapsed="false">
      <c r="D903" s="26"/>
    </row>
    <row r="904" customFormat="false" ht="15.75" hidden="false" customHeight="false" outlineLevel="0" collapsed="false">
      <c r="D904" s="26"/>
    </row>
    <row r="905" customFormat="false" ht="15.75" hidden="false" customHeight="false" outlineLevel="0" collapsed="false">
      <c r="D905" s="26"/>
    </row>
    <row r="906" customFormat="false" ht="15.75" hidden="false" customHeight="false" outlineLevel="0" collapsed="false">
      <c r="D906" s="26"/>
    </row>
    <row r="907" customFormat="false" ht="15.75" hidden="false" customHeight="false" outlineLevel="0" collapsed="false">
      <c r="D907" s="26"/>
    </row>
    <row r="908" customFormat="false" ht="15.75" hidden="false" customHeight="false" outlineLevel="0" collapsed="false">
      <c r="D908" s="26"/>
    </row>
    <row r="909" customFormat="false" ht="15.75" hidden="false" customHeight="false" outlineLevel="0" collapsed="false">
      <c r="D909" s="26"/>
    </row>
    <row r="910" customFormat="false" ht="15.75" hidden="false" customHeight="false" outlineLevel="0" collapsed="false">
      <c r="D910" s="26"/>
    </row>
    <row r="911" customFormat="false" ht="15.75" hidden="false" customHeight="false" outlineLevel="0" collapsed="false">
      <c r="D911" s="26"/>
    </row>
    <row r="912" customFormat="false" ht="15.75" hidden="false" customHeight="false" outlineLevel="0" collapsed="false">
      <c r="D912" s="26"/>
    </row>
    <row r="913" customFormat="false" ht="15.75" hidden="false" customHeight="false" outlineLevel="0" collapsed="false">
      <c r="D913" s="26"/>
    </row>
    <row r="914" customFormat="false" ht="15.75" hidden="false" customHeight="false" outlineLevel="0" collapsed="false">
      <c r="D914" s="26"/>
    </row>
    <row r="915" customFormat="false" ht="15.75" hidden="false" customHeight="false" outlineLevel="0" collapsed="false">
      <c r="D915" s="26"/>
    </row>
    <row r="916" customFormat="false" ht="15.75" hidden="false" customHeight="false" outlineLevel="0" collapsed="false">
      <c r="D916" s="26"/>
    </row>
    <row r="917" customFormat="false" ht="15.75" hidden="false" customHeight="false" outlineLevel="0" collapsed="false">
      <c r="D917" s="26"/>
    </row>
    <row r="918" customFormat="false" ht="15.75" hidden="false" customHeight="false" outlineLevel="0" collapsed="false">
      <c r="D918" s="26"/>
    </row>
    <row r="919" customFormat="false" ht="15.75" hidden="false" customHeight="false" outlineLevel="0" collapsed="false">
      <c r="D919" s="26"/>
    </row>
    <row r="920" customFormat="false" ht="15.75" hidden="false" customHeight="false" outlineLevel="0" collapsed="false">
      <c r="D920" s="26"/>
    </row>
    <row r="921" customFormat="false" ht="15.75" hidden="false" customHeight="false" outlineLevel="0" collapsed="false">
      <c r="D921" s="26"/>
    </row>
    <row r="922" customFormat="false" ht="15.75" hidden="false" customHeight="false" outlineLevel="0" collapsed="false">
      <c r="D922" s="26"/>
    </row>
    <row r="923" customFormat="false" ht="15.75" hidden="false" customHeight="false" outlineLevel="0" collapsed="false">
      <c r="D923" s="26"/>
    </row>
    <row r="924" customFormat="false" ht="15.75" hidden="false" customHeight="false" outlineLevel="0" collapsed="false">
      <c r="D924" s="26"/>
    </row>
    <row r="925" customFormat="false" ht="15.75" hidden="false" customHeight="false" outlineLevel="0" collapsed="false">
      <c r="D925" s="26"/>
    </row>
    <row r="926" customFormat="false" ht="15.75" hidden="false" customHeight="false" outlineLevel="0" collapsed="false">
      <c r="D926" s="26"/>
    </row>
    <row r="927" customFormat="false" ht="15.75" hidden="false" customHeight="false" outlineLevel="0" collapsed="false">
      <c r="D927" s="26"/>
    </row>
    <row r="928" customFormat="false" ht="15.75" hidden="false" customHeight="false" outlineLevel="0" collapsed="false">
      <c r="D928" s="26"/>
    </row>
    <row r="929" customFormat="false" ht="15.75" hidden="false" customHeight="false" outlineLevel="0" collapsed="false">
      <c r="D929" s="26"/>
    </row>
    <row r="930" customFormat="false" ht="15.75" hidden="false" customHeight="false" outlineLevel="0" collapsed="false">
      <c r="D930" s="26"/>
    </row>
    <row r="931" customFormat="false" ht="15.75" hidden="false" customHeight="false" outlineLevel="0" collapsed="false">
      <c r="D931" s="26"/>
    </row>
    <row r="932" customFormat="false" ht="15.75" hidden="false" customHeight="false" outlineLevel="0" collapsed="false">
      <c r="D932" s="26"/>
    </row>
    <row r="933" customFormat="false" ht="15.75" hidden="false" customHeight="false" outlineLevel="0" collapsed="false">
      <c r="D933" s="26"/>
    </row>
    <row r="934" customFormat="false" ht="15.75" hidden="false" customHeight="false" outlineLevel="0" collapsed="false">
      <c r="D934" s="26"/>
    </row>
    <row r="935" customFormat="false" ht="15.75" hidden="false" customHeight="false" outlineLevel="0" collapsed="false">
      <c r="D935" s="26"/>
    </row>
    <row r="936" customFormat="false" ht="15.75" hidden="false" customHeight="false" outlineLevel="0" collapsed="false">
      <c r="D936" s="26"/>
    </row>
    <row r="937" customFormat="false" ht="15.75" hidden="false" customHeight="false" outlineLevel="0" collapsed="false">
      <c r="D937" s="26"/>
    </row>
    <row r="938" customFormat="false" ht="15.75" hidden="false" customHeight="false" outlineLevel="0" collapsed="false">
      <c r="D938" s="26"/>
    </row>
    <row r="939" customFormat="false" ht="15.75" hidden="false" customHeight="false" outlineLevel="0" collapsed="false">
      <c r="D939" s="26"/>
    </row>
    <row r="940" customFormat="false" ht="15.75" hidden="false" customHeight="false" outlineLevel="0" collapsed="false">
      <c r="D940" s="26"/>
    </row>
    <row r="941" customFormat="false" ht="15.75" hidden="false" customHeight="false" outlineLevel="0" collapsed="false">
      <c r="D941" s="26"/>
    </row>
    <row r="942" customFormat="false" ht="15.75" hidden="false" customHeight="false" outlineLevel="0" collapsed="false">
      <c r="D942" s="26"/>
    </row>
    <row r="943" customFormat="false" ht="15.75" hidden="false" customHeight="false" outlineLevel="0" collapsed="false">
      <c r="D943" s="26"/>
    </row>
    <row r="944" customFormat="false" ht="15.75" hidden="false" customHeight="false" outlineLevel="0" collapsed="false">
      <c r="D944" s="26"/>
    </row>
    <row r="945" customFormat="false" ht="15.75" hidden="false" customHeight="false" outlineLevel="0" collapsed="false">
      <c r="D945" s="26"/>
    </row>
    <row r="946" customFormat="false" ht="15.75" hidden="false" customHeight="false" outlineLevel="0" collapsed="false">
      <c r="D946" s="26"/>
    </row>
    <row r="947" customFormat="false" ht="15.75" hidden="false" customHeight="false" outlineLevel="0" collapsed="false">
      <c r="D947" s="26"/>
    </row>
    <row r="948" customFormat="false" ht="15.75" hidden="false" customHeight="false" outlineLevel="0" collapsed="false">
      <c r="D948" s="26"/>
    </row>
    <row r="949" customFormat="false" ht="15.75" hidden="false" customHeight="false" outlineLevel="0" collapsed="false">
      <c r="D949" s="26"/>
    </row>
    <row r="950" customFormat="false" ht="15.75" hidden="false" customHeight="false" outlineLevel="0" collapsed="false">
      <c r="D950" s="26"/>
    </row>
    <row r="951" customFormat="false" ht="15.75" hidden="false" customHeight="false" outlineLevel="0" collapsed="false">
      <c r="D951" s="26"/>
    </row>
    <row r="952" customFormat="false" ht="15.75" hidden="false" customHeight="false" outlineLevel="0" collapsed="false">
      <c r="D952" s="26"/>
    </row>
    <row r="953" customFormat="false" ht="15.75" hidden="false" customHeight="false" outlineLevel="0" collapsed="false">
      <c r="D953" s="26"/>
    </row>
    <row r="954" customFormat="false" ht="15.75" hidden="false" customHeight="false" outlineLevel="0" collapsed="false">
      <c r="D954" s="26"/>
    </row>
    <row r="955" customFormat="false" ht="15.75" hidden="false" customHeight="false" outlineLevel="0" collapsed="false">
      <c r="D955" s="26"/>
    </row>
    <row r="956" customFormat="false" ht="15.75" hidden="false" customHeight="false" outlineLevel="0" collapsed="false">
      <c r="D956" s="26"/>
    </row>
    <row r="957" customFormat="false" ht="15.75" hidden="false" customHeight="false" outlineLevel="0" collapsed="false">
      <c r="D957" s="26"/>
    </row>
    <row r="958" customFormat="false" ht="15.75" hidden="false" customHeight="false" outlineLevel="0" collapsed="false">
      <c r="D958" s="26"/>
    </row>
    <row r="959" customFormat="false" ht="15.75" hidden="false" customHeight="false" outlineLevel="0" collapsed="false">
      <c r="D959" s="26"/>
    </row>
    <row r="960" customFormat="false" ht="15.75" hidden="false" customHeight="false" outlineLevel="0" collapsed="false">
      <c r="D960" s="26"/>
    </row>
    <row r="961" customFormat="false" ht="15.75" hidden="false" customHeight="false" outlineLevel="0" collapsed="false">
      <c r="D961" s="26"/>
    </row>
    <row r="962" customFormat="false" ht="15.75" hidden="false" customHeight="false" outlineLevel="0" collapsed="false">
      <c r="D962" s="26"/>
    </row>
    <row r="963" customFormat="false" ht="15.75" hidden="false" customHeight="false" outlineLevel="0" collapsed="false">
      <c r="D963" s="26"/>
    </row>
    <row r="964" customFormat="false" ht="15.75" hidden="false" customHeight="false" outlineLevel="0" collapsed="false">
      <c r="D964" s="26"/>
    </row>
    <row r="965" customFormat="false" ht="15.75" hidden="false" customHeight="false" outlineLevel="0" collapsed="false">
      <c r="D965" s="26"/>
    </row>
    <row r="966" customFormat="false" ht="15.75" hidden="false" customHeight="false" outlineLevel="0" collapsed="false">
      <c r="D966" s="26"/>
    </row>
    <row r="967" customFormat="false" ht="15.75" hidden="false" customHeight="false" outlineLevel="0" collapsed="false">
      <c r="D967" s="26"/>
    </row>
    <row r="968" customFormat="false" ht="15.75" hidden="false" customHeight="false" outlineLevel="0" collapsed="false">
      <c r="D968" s="26"/>
    </row>
    <row r="969" customFormat="false" ht="15.75" hidden="false" customHeight="false" outlineLevel="0" collapsed="false">
      <c r="D969" s="26"/>
    </row>
    <row r="970" customFormat="false" ht="15.75" hidden="false" customHeight="false" outlineLevel="0" collapsed="false">
      <c r="D970" s="26"/>
    </row>
    <row r="971" customFormat="false" ht="15.75" hidden="false" customHeight="false" outlineLevel="0" collapsed="false">
      <c r="D971" s="26"/>
    </row>
    <row r="972" customFormat="false" ht="15.75" hidden="false" customHeight="false" outlineLevel="0" collapsed="false">
      <c r="D972" s="26"/>
    </row>
    <row r="973" customFormat="false" ht="15.75" hidden="false" customHeight="false" outlineLevel="0" collapsed="false">
      <c r="D973" s="26"/>
    </row>
    <row r="974" customFormat="false" ht="15.75" hidden="false" customHeight="false" outlineLevel="0" collapsed="false">
      <c r="D974" s="26"/>
    </row>
    <row r="975" customFormat="false" ht="15.75" hidden="false" customHeight="false" outlineLevel="0" collapsed="false">
      <c r="D975" s="26"/>
    </row>
    <row r="976" customFormat="false" ht="15.75" hidden="false" customHeight="false" outlineLevel="0" collapsed="false">
      <c r="D976" s="26"/>
    </row>
    <row r="977" customFormat="false" ht="15.75" hidden="false" customHeight="false" outlineLevel="0" collapsed="false">
      <c r="D977" s="26"/>
    </row>
    <row r="978" customFormat="false" ht="15.75" hidden="false" customHeight="false" outlineLevel="0" collapsed="false">
      <c r="D978" s="26"/>
    </row>
    <row r="979" customFormat="false" ht="15.75" hidden="false" customHeight="false" outlineLevel="0" collapsed="false">
      <c r="D979" s="26"/>
    </row>
    <row r="980" customFormat="false" ht="15.75" hidden="false" customHeight="false" outlineLevel="0" collapsed="false">
      <c r="D980" s="26"/>
    </row>
    <row r="981" customFormat="false" ht="15.75" hidden="false" customHeight="false" outlineLevel="0" collapsed="false">
      <c r="D981" s="26"/>
    </row>
    <row r="982" customFormat="false" ht="15.75" hidden="false" customHeight="false" outlineLevel="0" collapsed="false">
      <c r="D982" s="26"/>
    </row>
    <row r="983" customFormat="false" ht="15.75" hidden="false" customHeight="false" outlineLevel="0" collapsed="false">
      <c r="D983" s="26"/>
    </row>
    <row r="984" customFormat="false" ht="15.75" hidden="false" customHeight="false" outlineLevel="0" collapsed="false">
      <c r="D984" s="26"/>
    </row>
    <row r="985" customFormat="false" ht="15.75" hidden="false" customHeight="false" outlineLevel="0" collapsed="false">
      <c r="D985" s="26"/>
    </row>
    <row r="986" customFormat="false" ht="15.75" hidden="false" customHeight="false" outlineLevel="0" collapsed="false">
      <c r="D986" s="26"/>
    </row>
    <row r="987" customFormat="false" ht="15.75" hidden="false" customHeight="false" outlineLevel="0" collapsed="false">
      <c r="D987" s="26"/>
    </row>
    <row r="988" customFormat="false" ht="15.75" hidden="false" customHeight="false" outlineLevel="0" collapsed="false">
      <c r="D988" s="26"/>
    </row>
    <row r="989" customFormat="false" ht="15.75" hidden="false" customHeight="false" outlineLevel="0" collapsed="false">
      <c r="D989" s="26"/>
    </row>
    <row r="990" customFormat="false" ht="15.75" hidden="false" customHeight="false" outlineLevel="0" collapsed="false">
      <c r="D990" s="26"/>
    </row>
    <row r="991" customFormat="false" ht="15.75" hidden="false" customHeight="false" outlineLevel="0" collapsed="false">
      <c r="D991" s="26"/>
    </row>
    <row r="992" customFormat="false" ht="15.75" hidden="false" customHeight="false" outlineLevel="0" collapsed="false">
      <c r="D992" s="26"/>
    </row>
    <row r="993" customFormat="false" ht="15.75" hidden="false" customHeight="false" outlineLevel="0" collapsed="false">
      <c r="D993" s="26"/>
    </row>
    <row r="994" customFormat="false" ht="15.75" hidden="false" customHeight="false" outlineLevel="0" collapsed="false">
      <c r="D994" s="26"/>
    </row>
    <row r="995" customFormat="false" ht="15.75" hidden="false" customHeight="false" outlineLevel="0" collapsed="false">
      <c r="D995" s="26"/>
    </row>
    <row r="996" customFormat="false" ht="15.75" hidden="false" customHeight="false" outlineLevel="0" collapsed="false">
      <c r="D996" s="26"/>
    </row>
    <row r="997" customFormat="false" ht="15.75" hidden="false" customHeight="false" outlineLevel="0" collapsed="false">
      <c r="D997" s="26"/>
    </row>
    <row r="998" customFormat="false" ht="15.75" hidden="false" customHeight="false" outlineLevel="0" collapsed="false">
      <c r="D998" s="26"/>
    </row>
    <row r="999" customFormat="false" ht="15.75" hidden="false" customHeight="false" outlineLevel="0" collapsed="false">
      <c r="D999" s="26"/>
    </row>
    <row r="1000" customFormat="false" ht="15.75" hidden="false" customHeight="false" outlineLevel="0" collapsed="false">
      <c r="D1000" s="26"/>
    </row>
  </sheetData>
  <mergeCells count="2">
    <mergeCell ref="A1:C1"/>
    <mergeCell ref="D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46" activeCellId="0" sqref="N46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25.9"/>
    <col collapsed="false" customWidth="true" hidden="false" outlineLevel="0" max="1024" min="3" style="0" width="12.64"/>
  </cols>
  <sheetData>
    <row r="1" customFormat="false" ht="13.8" hidden="false" customHeight="false" outlineLevel="0" collapsed="false">
      <c r="A1" s="21"/>
      <c r="B1" s="11" t="s">
        <v>98</v>
      </c>
      <c r="C1" s="11"/>
      <c r="D1" s="11"/>
      <c r="E1" s="22" t="s">
        <v>882</v>
      </c>
      <c r="F1" s="22"/>
      <c r="G1" s="22"/>
      <c r="I1" s="23"/>
      <c r="J1" s="23"/>
      <c r="K1" s="24" t="s">
        <v>872</v>
      </c>
      <c r="L1" s="24" t="s">
        <v>873</v>
      </c>
    </row>
    <row r="2" customFormat="false" ht="13.8" hidden="false" customHeight="false" outlineLevel="0" collapsed="false">
      <c r="A2" s="3" t="n">
        <v>1</v>
      </c>
      <c r="B2" s="3" t="s">
        <v>700</v>
      </c>
      <c r="C2" s="3" t="s">
        <v>143</v>
      </c>
      <c r="D2" s="3" t="s">
        <v>589</v>
      </c>
      <c r="E2" s="25" t="s">
        <v>877</v>
      </c>
      <c r="F2" s="3" t="s">
        <v>150</v>
      </c>
      <c r="G2" s="3" t="s">
        <v>63</v>
      </c>
      <c r="K2" s="13" t="n">
        <f aca="false">_xlfn.IFS(F2="","", F2=C2,1, F2&lt;&gt;C2,0)</f>
        <v>0</v>
      </c>
      <c r="L2" s="13" t="n">
        <f aca="false">_xlfn.IFS(G2="","", G2=D2,1, G2&lt;&gt;D2,0)</f>
        <v>0</v>
      </c>
      <c r="N2" s="4" t="s">
        <v>107</v>
      </c>
      <c r="O2" s="17"/>
      <c r="P2" s="8" t="s">
        <v>108</v>
      </c>
    </row>
    <row r="3" customFormat="false" ht="13.8" hidden="false" customHeight="false" outlineLevel="0" collapsed="false">
      <c r="A3" s="3" t="n">
        <v>2</v>
      </c>
      <c r="B3" s="3" t="s">
        <v>798</v>
      </c>
      <c r="C3" s="3" t="s">
        <v>143</v>
      </c>
      <c r="D3" s="3" t="s">
        <v>351</v>
      </c>
      <c r="E3" s="25" t="s">
        <v>877</v>
      </c>
      <c r="F3" s="3" t="s">
        <v>879</v>
      </c>
      <c r="G3" s="3"/>
      <c r="K3" s="13" t="n">
        <f aca="false">_xlfn.IFS(F3="","", F3=C3,1, F3&lt;&gt;C3,0)</f>
        <v>0</v>
      </c>
      <c r="L3" s="13" t="str">
        <f aca="false">_xlfn.IFS(G3="","", G3=D3,1, G3&lt;&gt;D3,0)</f>
        <v/>
      </c>
      <c r="N3" s="18" t="n">
        <f aca="false">AVERAGE(K2:K662)</f>
        <v>0.348877374784111</v>
      </c>
      <c r="O3" s="3" t="s">
        <v>111</v>
      </c>
      <c r="P3" s="18" t="n">
        <f aca="false">COUNT(K$2:K$662)/COUNTA($A$2:$A$662)</f>
        <v>0.875945537065053</v>
      </c>
    </row>
    <row r="4" customFormat="false" ht="13.8" hidden="false" customHeight="false" outlineLevel="0" collapsed="false">
      <c r="A4" s="3" t="n">
        <v>3</v>
      </c>
      <c r="B4" s="3" t="s">
        <v>804</v>
      </c>
      <c r="C4" s="3" t="s">
        <v>143</v>
      </c>
      <c r="D4" s="3" t="s">
        <v>589</v>
      </c>
      <c r="E4" s="25" t="s">
        <v>874</v>
      </c>
      <c r="F4" s="3" t="s">
        <v>105</v>
      </c>
      <c r="G4" s="3" t="s">
        <v>61</v>
      </c>
      <c r="K4" s="13" t="n">
        <f aca="false">_xlfn.IFS(F4="","", F4=C4,1, F4&lt;&gt;C4,0)</f>
        <v>0</v>
      </c>
      <c r="L4" s="13" t="n">
        <f aca="false">_xlfn.IFS(G4="","", G4=D4,1, G4&lt;&gt;D4,0)</f>
        <v>0</v>
      </c>
      <c r="N4" s="18" t="n">
        <f aca="false">AVERAGE(L2:L662)</f>
        <v>0.31948051948052</v>
      </c>
      <c r="O4" s="3" t="s">
        <v>114</v>
      </c>
      <c r="P4" s="18" t="n">
        <f aca="false">COUNT(L$2:L$662)/COUNTA($A$2:$A$662)</f>
        <v>0.582450832072617</v>
      </c>
    </row>
    <row r="5" customFormat="false" ht="13.8" hidden="false" customHeight="false" outlineLevel="0" collapsed="false">
      <c r="A5" s="3" t="n">
        <v>4</v>
      </c>
      <c r="B5" s="3" t="s">
        <v>267</v>
      </c>
      <c r="C5" s="3" t="s">
        <v>105</v>
      </c>
      <c r="D5" s="3" t="s">
        <v>61</v>
      </c>
      <c r="E5" s="25" t="s">
        <v>874</v>
      </c>
      <c r="F5" s="3"/>
      <c r="G5" s="3"/>
      <c r="K5" s="13" t="str">
        <f aca="false">_xlfn.IFS(F5="","", F5=C5,1, F5&lt;&gt;C5,0)</f>
        <v/>
      </c>
      <c r="L5" s="13" t="str">
        <f aca="false">_xlfn.IFS(G5="","", G5=D5,1, G5&lt;&gt;D5,0)</f>
        <v/>
      </c>
    </row>
    <row r="6" customFormat="false" ht="13.8" hidden="false" customHeight="false" outlineLevel="0" collapsed="false">
      <c r="A6" s="3" t="n">
        <v>5</v>
      </c>
      <c r="B6" s="3" t="s">
        <v>734</v>
      </c>
      <c r="C6" s="3" t="s">
        <v>105</v>
      </c>
      <c r="D6" s="3" t="s">
        <v>61</v>
      </c>
      <c r="E6" s="25" t="s">
        <v>874</v>
      </c>
      <c r="F6" s="3" t="s">
        <v>105</v>
      </c>
      <c r="G6" s="3" t="s">
        <v>61</v>
      </c>
      <c r="K6" s="13" t="n">
        <f aca="false">_xlfn.IFS(F6="","", F6=C6,1, F6&lt;&gt;C6,0)</f>
        <v>1</v>
      </c>
      <c r="L6" s="13" t="n">
        <f aca="false">_xlfn.IFS(G6="","", G6=D6,1, G6&lt;&gt;D6,0)</f>
        <v>1</v>
      </c>
    </row>
    <row r="7" customFormat="false" ht="13.8" hidden="false" customHeight="false" outlineLevel="0" collapsed="false">
      <c r="A7" s="3" t="n">
        <v>6</v>
      </c>
      <c r="B7" s="3" t="s">
        <v>197</v>
      </c>
      <c r="C7" s="3" t="s">
        <v>143</v>
      </c>
      <c r="D7" s="3" t="s">
        <v>198</v>
      </c>
      <c r="E7" s="25" t="s">
        <v>874</v>
      </c>
      <c r="F7" s="3" t="s">
        <v>105</v>
      </c>
      <c r="G7" s="3"/>
      <c r="K7" s="13" t="n">
        <f aca="false">_xlfn.IFS(F7="","", F7=C7,1, F7&lt;&gt;C7,0)</f>
        <v>0</v>
      </c>
      <c r="L7" s="13" t="str">
        <f aca="false">_xlfn.IFS(G7="","", G7=D7,1, G7&lt;&gt;D7,0)</f>
        <v/>
      </c>
    </row>
    <row r="8" customFormat="false" ht="13.8" hidden="false" customHeight="false" outlineLevel="0" collapsed="false">
      <c r="A8" s="3" t="n">
        <v>7</v>
      </c>
      <c r="B8" s="3" t="s">
        <v>680</v>
      </c>
      <c r="C8" s="3" t="s">
        <v>105</v>
      </c>
      <c r="D8" s="3" t="s">
        <v>61</v>
      </c>
      <c r="E8" s="25" t="s">
        <v>874</v>
      </c>
      <c r="F8" s="3" t="s">
        <v>105</v>
      </c>
      <c r="G8" s="3" t="s">
        <v>61</v>
      </c>
      <c r="K8" s="13" t="n">
        <f aca="false">_xlfn.IFS(F8="","", F8=C8,1, F8&lt;&gt;C8,0)</f>
        <v>1</v>
      </c>
      <c r="L8" s="13" t="n">
        <f aca="false">_xlfn.IFS(G8="","", G8=D8,1, G8&lt;&gt;D8,0)</f>
        <v>1</v>
      </c>
    </row>
    <row r="9" customFormat="false" ht="13.8" hidden="false" customHeight="false" outlineLevel="0" collapsed="false">
      <c r="A9" s="3" t="n">
        <v>8</v>
      </c>
      <c r="B9" s="3" t="s">
        <v>812</v>
      </c>
      <c r="C9" s="3" t="s">
        <v>143</v>
      </c>
      <c r="D9" s="3" t="s">
        <v>198</v>
      </c>
      <c r="E9" s="25" t="s">
        <v>877</v>
      </c>
      <c r="F9" s="3" t="s">
        <v>879</v>
      </c>
      <c r="G9" s="3"/>
      <c r="K9" s="13" t="n">
        <f aca="false">_xlfn.IFS(F9="","", F9=C9,1, F9&lt;&gt;C9,0)</f>
        <v>0</v>
      </c>
      <c r="L9" s="13" t="str">
        <f aca="false">_xlfn.IFS(G9="","", G9=D9,1, G9&lt;&gt;D9,0)</f>
        <v/>
      </c>
    </row>
    <row r="10" customFormat="false" ht="13.8" hidden="false" customHeight="false" outlineLevel="0" collapsed="false">
      <c r="A10" s="3" t="n">
        <v>9</v>
      </c>
      <c r="B10" s="3" t="s">
        <v>353</v>
      </c>
      <c r="C10" s="3" t="s">
        <v>133</v>
      </c>
      <c r="D10" s="3" t="s">
        <v>65</v>
      </c>
      <c r="E10" s="25" t="s">
        <v>877</v>
      </c>
      <c r="F10" s="3" t="s">
        <v>879</v>
      </c>
      <c r="G10" s="3"/>
      <c r="K10" s="13" t="n">
        <f aca="false">_xlfn.IFS(F10="","", F10=C10,1, F10&lt;&gt;C10,0)</f>
        <v>0</v>
      </c>
      <c r="L10" s="13" t="str">
        <f aca="false">_xlfn.IFS(G10="","", G10=D10,1, G10&lt;&gt;D10,0)</f>
        <v/>
      </c>
    </row>
    <row r="11" customFormat="false" ht="13.8" hidden="false" customHeight="false" outlineLevel="0" collapsed="false">
      <c r="A11" s="3" t="n">
        <v>10</v>
      </c>
      <c r="B11" s="3" t="s">
        <v>433</v>
      </c>
      <c r="C11" s="3" t="s">
        <v>133</v>
      </c>
      <c r="D11" s="3" t="s">
        <v>65</v>
      </c>
      <c r="E11" s="25" t="s">
        <v>877</v>
      </c>
      <c r="F11" s="3" t="s">
        <v>879</v>
      </c>
      <c r="G11" s="3"/>
      <c r="K11" s="13" t="n">
        <f aca="false">_xlfn.IFS(F11="","", F11=C11,1, F11&lt;&gt;C11,0)</f>
        <v>0</v>
      </c>
      <c r="L11" s="13" t="str">
        <f aca="false">_xlfn.IFS(G11="","", G11=D11,1, G11&lt;&gt;D11,0)</f>
        <v/>
      </c>
    </row>
    <row r="12" customFormat="false" ht="13.8" hidden="false" customHeight="false" outlineLevel="0" collapsed="false">
      <c r="A12" s="3" t="n">
        <v>11</v>
      </c>
      <c r="B12" s="3" t="s">
        <v>199</v>
      </c>
      <c r="C12" s="3" t="s">
        <v>105</v>
      </c>
      <c r="D12" s="3" t="s">
        <v>61</v>
      </c>
      <c r="E12" s="25" t="s">
        <v>874</v>
      </c>
      <c r="F12" s="3" t="s">
        <v>105</v>
      </c>
      <c r="G12" s="3" t="s">
        <v>61</v>
      </c>
      <c r="K12" s="13" t="n">
        <f aca="false">_xlfn.IFS(F12="","", F12=C12,1, F12&lt;&gt;C12,0)</f>
        <v>1</v>
      </c>
      <c r="L12" s="13" t="n">
        <f aca="false">_xlfn.IFS(G12="","", G12=D12,1, G12&lt;&gt;D12,0)</f>
        <v>1</v>
      </c>
    </row>
    <row r="13" customFormat="false" ht="13.8" hidden="false" customHeight="false" outlineLevel="0" collapsed="false">
      <c r="A13" s="3" t="n">
        <v>12</v>
      </c>
      <c r="B13" s="3" t="s">
        <v>268</v>
      </c>
      <c r="C13" s="3" t="s">
        <v>105</v>
      </c>
      <c r="D13" s="3" t="s">
        <v>61</v>
      </c>
      <c r="E13" s="25" t="s">
        <v>874</v>
      </c>
      <c r="F13" s="3"/>
      <c r="G13" s="3"/>
      <c r="K13" s="13" t="str">
        <f aca="false">_xlfn.IFS(F13="","", F13=C13,1, F13&lt;&gt;C13,0)</f>
        <v/>
      </c>
      <c r="L13" s="13" t="str">
        <f aca="false">_xlfn.IFS(G13="","", G13=D13,1, G13&lt;&gt;D13,0)</f>
        <v/>
      </c>
    </row>
    <row r="14" customFormat="false" ht="13.8" hidden="false" customHeight="false" outlineLevel="0" collapsed="false">
      <c r="A14" s="3" t="n">
        <v>13</v>
      </c>
      <c r="B14" s="3" t="s">
        <v>394</v>
      </c>
      <c r="C14" s="3" t="s">
        <v>105</v>
      </c>
      <c r="D14" s="3" t="s">
        <v>77</v>
      </c>
      <c r="E14" s="25" t="s">
        <v>874</v>
      </c>
      <c r="F14" s="3" t="s">
        <v>105</v>
      </c>
      <c r="G14" s="3" t="s">
        <v>61</v>
      </c>
      <c r="K14" s="13" t="n">
        <f aca="false">_xlfn.IFS(F14="","", F14=C14,1, F14&lt;&gt;C14,0)</f>
        <v>1</v>
      </c>
      <c r="L14" s="13" t="n">
        <f aca="false">_xlfn.IFS(G14="","", G14=D14,1, G14&lt;&gt;D14,0)</f>
        <v>0</v>
      </c>
    </row>
    <row r="15" customFormat="false" ht="13.8" hidden="false" customHeight="false" outlineLevel="0" collapsed="false">
      <c r="A15" s="3" t="n">
        <v>14</v>
      </c>
      <c r="B15" s="3" t="s">
        <v>386</v>
      </c>
      <c r="C15" s="3" t="s">
        <v>133</v>
      </c>
      <c r="D15" s="3" t="s">
        <v>65</v>
      </c>
      <c r="E15" s="25" t="s">
        <v>877</v>
      </c>
      <c r="F15" s="3" t="s">
        <v>879</v>
      </c>
      <c r="G15" s="3"/>
      <c r="K15" s="13" t="n">
        <f aca="false">_xlfn.IFS(F15="","", F15=C15,1, F15&lt;&gt;C15,0)</f>
        <v>0</v>
      </c>
      <c r="L15" s="13" t="str">
        <f aca="false">_xlfn.IFS(G15="","", G15=D15,1, G15&lt;&gt;D15,0)</f>
        <v/>
      </c>
    </row>
    <row r="16" customFormat="false" ht="13.8" hidden="false" customHeight="false" outlineLevel="0" collapsed="false">
      <c r="A16" s="3" t="n">
        <v>15</v>
      </c>
      <c r="B16" s="3" t="s">
        <v>745</v>
      </c>
      <c r="C16" s="3" t="s">
        <v>143</v>
      </c>
      <c r="D16" s="3" t="s">
        <v>288</v>
      </c>
      <c r="E16" s="25" t="s">
        <v>874</v>
      </c>
      <c r="F16" s="3"/>
      <c r="G16" s="3"/>
      <c r="K16" s="13" t="str">
        <f aca="false">_xlfn.IFS(F16="","", F16=C16,1, F16&lt;&gt;C16,0)</f>
        <v/>
      </c>
      <c r="L16" s="13" t="str">
        <f aca="false">_xlfn.IFS(G16="","", G16=D16,1, G16&lt;&gt;D16,0)</f>
        <v/>
      </c>
    </row>
    <row r="17" customFormat="false" ht="13.8" hidden="false" customHeight="false" outlineLevel="0" collapsed="false">
      <c r="A17" s="3" t="n">
        <v>16</v>
      </c>
      <c r="B17" s="3" t="s">
        <v>269</v>
      </c>
      <c r="C17" s="3" t="s">
        <v>105</v>
      </c>
      <c r="D17" s="3" t="s">
        <v>61</v>
      </c>
      <c r="E17" s="25" t="s">
        <v>874</v>
      </c>
      <c r="F17" s="3" t="s">
        <v>105</v>
      </c>
      <c r="G17" s="3" t="s">
        <v>61</v>
      </c>
      <c r="K17" s="13" t="n">
        <f aca="false">_xlfn.IFS(F17="","", F17=C17,1, F17&lt;&gt;C17,0)</f>
        <v>1</v>
      </c>
      <c r="L17" s="13" t="n">
        <f aca="false">_xlfn.IFS(G17="","", G17=D17,1, G17&lt;&gt;D17,0)</f>
        <v>1</v>
      </c>
    </row>
    <row r="18" customFormat="false" ht="13.8" hidden="false" customHeight="false" outlineLevel="0" collapsed="false">
      <c r="A18" s="3" t="n">
        <v>17</v>
      </c>
      <c r="B18" s="3" t="s">
        <v>477</v>
      </c>
      <c r="C18" s="3" t="s">
        <v>105</v>
      </c>
      <c r="D18" s="3" t="s">
        <v>61</v>
      </c>
      <c r="E18" s="25" t="s">
        <v>874</v>
      </c>
      <c r="F18" s="3"/>
      <c r="G18" s="3"/>
      <c r="K18" s="13" t="str">
        <f aca="false">_xlfn.IFS(F18="","", F18=C18,1, F18&lt;&gt;C18,0)</f>
        <v/>
      </c>
      <c r="L18" s="13" t="str">
        <f aca="false">_xlfn.IFS(G18="","", G18=D18,1, G18&lt;&gt;D18,0)</f>
        <v/>
      </c>
    </row>
    <row r="19" customFormat="false" ht="13.8" hidden="false" customHeight="false" outlineLevel="0" collapsed="false">
      <c r="A19" s="3" t="n">
        <v>18</v>
      </c>
      <c r="B19" s="3" t="s">
        <v>200</v>
      </c>
      <c r="C19" s="3" t="s">
        <v>143</v>
      </c>
      <c r="D19" s="3" t="s">
        <v>198</v>
      </c>
      <c r="E19" s="25" t="s">
        <v>877</v>
      </c>
      <c r="F19" s="3" t="s">
        <v>879</v>
      </c>
      <c r="G19" s="3"/>
      <c r="K19" s="13" t="n">
        <f aca="false">_xlfn.IFS(F19="","", F19=C19,1, F19&lt;&gt;C19,0)</f>
        <v>0</v>
      </c>
      <c r="L19" s="13" t="str">
        <f aca="false">_xlfn.IFS(G19="","", G19=D19,1, G19&lt;&gt;D19,0)</f>
        <v/>
      </c>
    </row>
    <row r="20" customFormat="false" ht="13.8" hidden="false" customHeight="false" outlineLevel="0" collapsed="false">
      <c r="A20" s="3" t="n">
        <v>19</v>
      </c>
      <c r="B20" s="3" t="s">
        <v>446</v>
      </c>
      <c r="C20" s="3" t="s">
        <v>143</v>
      </c>
      <c r="D20" s="3" t="s">
        <v>198</v>
      </c>
      <c r="E20" s="25" t="s">
        <v>877</v>
      </c>
      <c r="F20" s="3" t="s">
        <v>879</v>
      </c>
      <c r="G20" s="3"/>
      <c r="K20" s="13" t="n">
        <f aca="false">_xlfn.IFS(F20="","", F20=C20,1, F20&lt;&gt;C20,0)</f>
        <v>0</v>
      </c>
      <c r="L20" s="13" t="str">
        <f aca="false">_xlfn.IFS(G20="","", G20=D20,1, G20&lt;&gt;D20,0)</f>
        <v/>
      </c>
    </row>
    <row r="21" customFormat="false" ht="13.8" hidden="false" customHeight="false" outlineLevel="0" collapsed="false">
      <c r="A21" s="3" t="n">
        <v>20</v>
      </c>
      <c r="B21" s="3" t="s">
        <v>420</v>
      </c>
      <c r="C21" s="3" t="s">
        <v>105</v>
      </c>
      <c r="D21" s="3" t="s">
        <v>61</v>
      </c>
      <c r="E21" s="25" t="s">
        <v>874</v>
      </c>
      <c r="F21" s="3" t="s">
        <v>105</v>
      </c>
      <c r="G21" s="3"/>
      <c r="K21" s="13" t="n">
        <f aca="false">_xlfn.IFS(F21="","", F21=C21,1, F21&lt;&gt;C21,0)</f>
        <v>1</v>
      </c>
      <c r="L21" s="13" t="str">
        <f aca="false">_xlfn.IFS(G21="","", G21=D21,1, G21&lt;&gt;D21,0)</f>
        <v/>
      </c>
    </row>
    <row r="22" customFormat="false" ht="13.8" hidden="false" customHeight="false" outlineLevel="0" collapsed="false">
      <c r="A22" s="3" t="n">
        <v>21</v>
      </c>
      <c r="B22" s="3" t="s">
        <v>201</v>
      </c>
      <c r="C22" s="3" t="s">
        <v>105</v>
      </c>
      <c r="D22" s="3" t="s">
        <v>55</v>
      </c>
      <c r="E22" s="25" t="s">
        <v>874</v>
      </c>
      <c r="F22" s="3" t="s">
        <v>105</v>
      </c>
      <c r="G22" s="3" t="s">
        <v>61</v>
      </c>
      <c r="K22" s="13" t="n">
        <f aca="false">_xlfn.IFS(F22="","", F22=C22,1, F22&lt;&gt;C22,0)</f>
        <v>1</v>
      </c>
      <c r="L22" s="13" t="n">
        <f aca="false">_xlfn.IFS(G22="","", G22=D22,1, G22&lt;&gt;D22,0)</f>
        <v>0</v>
      </c>
    </row>
    <row r="23" customFormat="false" ht="13.8" hidden="false" customHeight="false" outlineLevel="0" collapsed="false">
      <c r="A23" s="3" t="n">
        <v>22</v>
      </c>
      <c r="B23" s="3" t="s">
        <v>202</v>
      </c>
      <c r="C23" s="3" t="s">
        <v>143</v>
      </c>
      <c r="D23" s="3" t="s">
        <v>198</v>
      </c>
      <c r="E23" s="25" t="s">
        <v>874</v>
      </c>
      <c r="F23" s="3"/>
      <c r="G23" s="3"/>
      <c r="K23" s="13" t="str">
        <f aca="false">_xlfn.IFS(F23="","", F23=C23,1, F23&lt;&gt;C23,0)</f>
        <v/>
      </c>
      <c r="L23" s="13" t="str">
        <f aca="false">_xlfn.IFS(G23="","", G23=D23,1, G23&lt;&gt;D23,0)</f>
        <v/>
      </c>
    </row>
    <row r="24" customFormat="false" ht="13.8" hidden="false" customHeight="false" outlineLevel="0" collapsed="false">
      <c r="A24" s="3" t="n">
        <v>23</v>
      </c>
      <c r="B24" s="3" t="s">
        <v>203</v>
      </c>
      <c r="C24" s="3" t="s">
        <v>105</v>
      </c>
      <c r="D24" s="3" t="s">
        <v>61</v>
      </c>
      <c r="E24" s="25" t="s">
        <v>874</v>
      </c>
      <c r="F24" s="3" t="s">
        <v>105</v>
      </c>
      <c r="G24" s="3" t="s">
        <v>61</v>
      </c>
      <c r="K24" s="13" t="n">
        <f aca="false">_xlfn.IFS(F24="","", F24=C24,1, F24&lt;&gt;C24,0)</f>
        <v>1</v>
      </c>
      <c r="L24" s="13" t="n">
        <f aca="false">_xlfn.IFS(G24="","", G24=D24,1, G24&lt;&gt;D24,0)</f>
        <v>1</v>
      </c>
    </row>
    <row r="25" customFormat="false" ht="13.8" hidden="false" customHeight="false" outlineLevel="0" collapsed="false">
      <c r="A25" s="3" t="n">
        <v>24</v>
      </c>
      <c r="B25" s="3" t="s">
        <v>515</v>
      </c>
      <c r="C25" s="3" t="s">
        <v>105</v>
      </c>
      <c r="D25" s="3" t="s">
        <v>61</v>
      </c>
      <c r="E25" s="25" t="s">
        <v>874</v>
      </c>
      <c r="F25" s="3" t="s">
        <v>105</v>
      </c>
      <c r="G25" s="3"/>
      <c r="K25" s="13" t="n">
        <f aca="false">_xlfn.IFS(F25="","", F25=C25,1, F25&lt;&gt;C25,0)</f>
        <v>1</v>
      </c>
      <c r="L25" s="13" t="str">
        <f aca="false">_xlfn.IFS(G25="","", G25=D25,1, G25&lt;&gt;D25,0)</f>
        <v/>
      </c>
    </row>
    <row r="26" customFormat="false" ht="13.8" hidden="false" customHeight="false" outlineLevel="0" collapsed="false">
      <c r="A26" s="3" t="n">
        <v>25</v>
      </c>
      <c r="B26" s="3" t="s">
        <v>525</v>
      </c>
      <c r="C26" s="3" t="s">
        <v>150</v>
      </c>
      <c r="D26" s="3" t="s">
        <v>75</v>
      </c>
      <c r="E26" s="25" t="s">
        <v>877</v>
      </c>
      <c r="F26" s="3" t="s">
        <v>879</v>
      </c>
      <c r="G26" s="3"/>
      <c r="K26" s="13" t="n">
        <f aca="false">_xlfn.IFS(F26="","", F26=C26,1, F26&lt;&gt;C26,0)</f>
        <v>0</v>
      </c>
      <c r="L26" s="13" t="str">
        <f aca="false">_xlfn.IFS(G26="","", G26=D26,1, G26&lt;&gt;D26,0)</f>
        <v/>
      </c>
    </row>
    <row r="27" customFormat="false" ht="13.8" hidden="false" customHeight="false" outlineLevel="0" collapsed="false">
      <c r="A27" s="3" t="n">
        <v>26</v>
      </c>
      <c r="B27" s="3" t="s">
        <v>377</v>
      </c>
      <c r="C27" s="3" t="s">
        <v>143</v>
      </c>
      <c r="D27" s="3" t="s">
        <v>198</v>
      </c>
      <c r="E27" s="25" t="s">
        <v>874</v>
      </c>
      <c r="F27" s="3" t="s">
        <v>105</v>
      </c>
      <c r="G27" s="3"/>
      <c r="K27" s="13" t="n">
        <f aca="false">_xlfn.IFS(F27="","", F27=C27,1, F27&lt;&gt;C27,0)</f>
        <v>0</v>
      </c>
      <c r="L27" s="13" t="str">
        <f aca="false">_xlfn.IFS(G27="","", G27=D27,1, G27&lt;&gt;D27,0)</f>
        <v/>
      </c>
    </row>
    <row r="28" customFormat="false" ht="13.8" hidden="false" customHeight="false" outlineLevel="0" collapsed="false">
      <c r="A28" s="3" t="n">
        <v>27</v>
      </c>
      <c r="B28" s="3" t="s">
        <v>725</v>
      </c>
      <c r="C28" s="3" t="s">
        <v>133</v>
      </c>
      <c r="D28" s="3" t="s">
        <v>65</v>
      </c>
      <c r="E28" s="25" t="s">
        <v>877</v>
      </c>
      <c r="F28" s="3" t="s">
        <v>879</v>
      </c>
      <c r="G28" s="3"/>
      <c r="K28" s="13" t="n">
        <f aca="false">_xlfn.IFS(F28="","", F28=C28,1, F28&lt;&gt;C28,0)</f>
        <v>0</v>
      </c>
      <c r="L28" s="13" t="str">
        <f aca="false">_xlfn.IFS(G28="","", G28=D28,1, G28&lt;&gt;D28,0)</f>
        <v/>
      </c>
    </row>
    <row r="29" customFormat="false" ht="13.8" hidden="false" customHeight="false" outlineLevel="0" collapsed="false">
      <c r="A29" s="3" t="n">
        <v>28</v>
      </c>
      <c r="B29" s="3" t="s">
        <v>646</v>
      </c>
      <c r="C29" s="3" t="s">
        <v>150</v>
      </c>
      <c r="D29" s="3" t="s">
        <v>75</v>
      </c>
      <c r="E29" s="25" t="s">
        <v>877</v>
      </c>
      <c r="F29" s="3" t="s">
        <v>879</v>
      </c>
      <c r="G29" s="3"/>
      <c r="K29" s="13" t="n">
        <f aca="false">_xlfn.IFS(F29="","", F29=C29,1, F29&lt;&gt;C29,0)</f>
        <v>0</v>
      </c>
      <c r="L29" s="13" t="str">
        <f aca="false">_xlfn.IFS(G29="","", G29=D29,1, G29&lt;&gt;D29,0)</f>
        <v/>
      </c>
    </row>
    <row r="30" customFormat="false" ht="13.8" hidden="false" customHeight="false" outlineLevel="0" collapsed="false">
      <c r="A30" s="3" t="n">
        <v>29</v>
      </c>
      <c r="B30" s="3" t="s">
        <v>691</v>
      </c>
      <c r="C30" s="3" t="s">
        <v>143</v>
      </c>
      <c r="D30" s="3" t="s">
        <v>198</v>
      </c>
      <c r="E30" s="25" t="s">
        <v>878</v>
      </c>
      <c r="F30" s="3"/>
      <c r="G30" s="3"/>
      <c r="K30" s="13" t="str">
        <f aca="false">_xlfn.IFS(F30="","", F30=C30,1, F30&lt;&gt;C30,0)</f>
        <v/>
      </c>
      <c r="L30" s="13" t="str">
        <f aca="false">_xlfn.IFS(G30="","", G30=D30,1, G30&lt;&gt;D30,0)</f>
        <v/>
      </c>
    </row>
    <row r="31" customFormat="false" ht="13.8" hidden="false" customHeight="false" outlineLevel="0" collapsed="false">
      <c r="A31" s="3" t="n">
        <v>30</v>
      </c>
      <c r="B31" s="3" t="s">
        <v>808</v>
      </c>
      <c r="C31" s="3" t="s">
        <v>143</v>
      </c>
      <c r="D31" s="3" t="s">
        <v>589</v>
      </c>
      <c r="E31" s="25" t="s">
        <v>874</v>
      </c>
      <c r="F31" s="3" t="s">
        <v>105</v>
      </c>
      <c r="G31" s="3" t="s">
        <v>61</v>
      </c>
      <c r="K31" s="13" t="n">
        <f aca="false">_xlfn.IFS(F31="","", F31=C31,1, F31&lt;&gt;C31,0)</f>
        <v>0</v>
      </c>
      <c r="L31" s="13" t="n">
        <f aca="false">_xlfn.IFS(G31="","", G31=D31,1, G31&lt;&gt;D31,0)</f>
        <v>0</v>
      </c>
    </row>
    <row r="32" customFormat="false" ht="13.8" hidden="false" customHeight="false" outlineLevel="0" collapsed="false">
      <c r="A32" s="3" t="n">
        <v>31</v>
      </c>
      <c r="B32" s="3" t="s">
        <v>552</v>
      </c>
      <c r="C32" s="3" t="s">
        <v>105</v>
      </c>
      <c r="D32" s="3" t="s">
        <v>61</v>
      </c>
      <c r="E32" s="25" t="s">
        <v>877</v>
      </c>
      <c r="F32" s="3" t="s">
        <v>879</v>
      </c>
      <c r="G32" s="3"/>
      <c r="K32" s="13" t="n">
        <f aca="false">_xlfn.IFS(F32="","", F32=C32,1, F32&lt;&gt;C32,0)</f>
        <v>0</v>
      </c>
      <c r="L32" s="13" t="str">
        <f aca="false">_xlfn.IFS(G32="","", G32=D32,1, G32&lt;&gt;D32,0)</f>
        <v/>
      </c>
    </row>
    <row r="33" customFormat="false" ht="13.8" hidden="false" customHeight="false" outlineLevel="0" collapsed="false">
      <c r="A33" s="3" t="n">
        <v>32</v>
      </c>
      <c r="B33" s="3" t="s">
        <v>809</v>
      </c>
      <c r="C33" s="3" t="s">
        <v>105</v>
      </c>
      <c r="D33" s="3" t="s">
        <v>61</v>
      </c>
      <c r="E33" s="25" t="s">
        <v>874</v>
      </c>
      <c r="F33" s="3" t="s">
        <v>105</v>
      </c>
      <c r="G33" s="3" t="s">
        <v>61</v>
      </c>
      <c r="K33" s="13" t="n">
        <f aca="false">_xlfn.IFS(F33="","", F33=C33,1, F33&lt;&gt;C33,0)</f>
        <v>1</v>
      </c>
      <c r="L33" s="13" t="n">
        <f aca="false">_xlfn.IFS(G33="","", G33=D33,1, G33&lt;&gt;D33,0)</f>
        <v>1</v>
      </c>
    </row>
    <row r="34" customFormat="false" ht="13.8" hidden="false" customHeight="false" outlineLevel="0" collapsed="false">
      <c r="A34" s="3" t="n">
        <v>33</v>
      </c>
      <c r="B34" s="3" t="s">
        <v>332</v>
      </c>
      <c r="C34" s="3" t="s">
        <v>105</v>
      </c>
      <c r="D34" s="3" t="s">
        <v>61</v>
      </c>
      <c r="E34" s="25" t="s">
        <v>877</v>
      </c>
      <c r="F34" s="3" t="s">
        <v>879</v>
      </c>
      <c r="G34" s="3"/>
      <c r="K34" s="13" t="n">
        <f aca="false">_xlfn.IFS(F34="","", F34=C34,1, F34&lt;&gt;C34,0)</f>
        <v>0</v>
      </c>
      <c r="L34" s="13" t="str">
        <f aca="false">_xlfn.IFS(G34="","", G34=D34,1, G34&lt;&gt;D34,0)</f>
        <v/>
      </c>
    </row>
    <row r="35" customFormat="false" ht="13.8" hidden="false" customHeight="false" outlineLevel="0" collapsed="false">
      <c r="A35" s="3" t="n">
        <v>34</v>
      </c>
      <c r="B35" s="3" t="s">
        <v>204</v>
      </c>
      <c r="C35" s="3" t="s">
        <v>143</v>
      </c>
      <c r="D35" s="3" t="s">
        <v>198</v>
      </c>
      <c r="E35" s="25" t="s">
        <v>874</v>
      </c>
      <c r="F35" s="3" t="s">
        <v>105</v>
      </c>
      <c r="G35" s="3"/>
      <c r="K35" s="13" t="n">
        <f aca="false">_xlfn.IFS(F35="","", F35=C35,1, F35&lt;&gt;C35,0)</f>
        <v>0</v>
      </c>
      <c r="L35" s="13" t="str">
        <f aca="false">_xlfn.IFS(G35="","", G35=D35,1, G35&lt;&gt;D35,0)</f>
        <v/>
      </c>
    </row>
    <row r="36" customFormat="false" ht="13.8" hidden="false" customHeight="false" outlineLevel="0" collapsed="false">
      <c r="A36" s="3" t="n">
        <v>35</v>
      </c>
      <c r="B36" s="3" t="s">
        <v>323</v>
      </c>
      <c r="C36" s="3" t="s">
        <v>105</v>
      </c>
      <c r="D36" s="3" t="s">
        <v>61</v>
      </c>
      <c r="E36" s="25" t="s">
        <v>874</v>
      </c>
      <c r="F36" s="3" t="s">
        <v>105</v>
      </c>
      <c r="G36" s="3" t="s">
        <v>61</v>
      </c>
      <c r="K36" s="13" t="n">
        <f aca="false">_xlfn.IFS(F36="","", F36=C36,1, F36&lt;&gt;C36,0)</f>
        <v>1</v>
      </c>
      <c r="L36" s="13" t="n">
        <f aca="false">_xlfn.IFS(G36="","", G36=D36,1, G36&lt;&gt;D36,0)</f>
        <v>1</v>
      </c>
    </row>
    <row r="37" customFormat="false" ht="13.8" hidden="false" customHeight="false" outlineLevel="0" collapsed="false">
      <c r="A37" s="3" t="n">
        <v>36</v>
      </c>
      <c r="B37" s="3" t="s">
        <v>807</v>
      </c>
      <c r="C37" s="3" t="s">
        <v>105</v>
      </c>
      <c r="D37" s="3" t="s">
        <v>61</v>
      </c>
      <c r="E37" s="25" t="s">
        <v>878</v>
      </c>
      <c r="F37" s="3"/>
      <c r="G37" s="3"/>
      <c r="K37" s="13" t="str">
        <f aca="false">_xlfn.IFS(F37="","", F37=C37,1, F37&lt;&gt;C37,0)</f>
        <v/>
      </c>
      <c r="L37" s="13" t="str">
        <f aca="false">_xlfn.IFS(G37="","", G37=D37,1, G37&lt;&gt;D37,0)</f>
        <v/>
      </c>
    </row>
    <row r="38" customFormat="false" ht="13.8" hidden="false" customHeight="false" outlineLevel="0" collapsed="false">
      <c r="A38" s="3" t="n">
        <v>37</v>
      </c>
      <c r="B38" s="3" t="s">
        <v>591</v>
      </c>
      <c r="C38" s="3" t="s">
        <v>105</v>
      </c>
      <c r="D38" s="3" t="s">
        <v>61</v>
      </c>
      <c r="E38" s="25" t="s">
        <v>878</v>
      </c>
      <c r="F38" s="3"/>
      <c r="G38" s="3"/>
      <c r="K38" s="13" t="str">
        <f aca="false">_xlfn.IFS(F38="","", F38=C38,1, F38&lt;&gt;C38,0)</f>
        <v/>
      </c>
      <c r="L38" s="13" t="str">
        <f aca="false">_xlfn.IFS(G38="","", G38=D38,1, G38&lt;&gt;D38,0)</f>
        <v/>
      </c>
    </row>
    <row r="39" customFormat="false" ht="13.8" hidden="false" customHeight="false" outlineLevel="0" collapsed="false">
      <c r="A39" s="3" t="n">
        <v>38</v>
      </c>
      <c r="B39" s="3" t="s">
        <v>372</v>
      </c>
      <c r="C39" s="3" t="s">
        <v>105</v>
      </c>
      <c r="D39" s="3" t="s">
        <v>61</v>
      </c>
      <c r="E39" s="25" t="s">
        <v>874</v>
      </c>
      <c r="F39" s="3" t="s">
        <v>105</v>
      </c>
      <c r="G39" s="3"/>
      <c r="K39" s="13" t="n">
        <f aca="false">_xlfn.IFS(F39="","", F39=C39,1, F39&lt;&gt;C39,0)</f>
        <v>1</v>
      </c>
      <c r="L39" s="13" t="str">
        <f aca="false">_xlfn.IFS(G39="","", G39=D39,1, G39&lt;&gt;D39,0)</f>
        <v/>
      </c>
    </row>
    <row r="40" customFormat="false" ht="13.8" hidden="false" customHeight="false" outlineLevel="0" collapsed="false">
      <c r="A40" s="3" t="n">
        <v>39</v>
      </c>
      <c r="B40" s="3" t="s">
        <v>588</v>
      </c>
      <c r="C40" s="3" t="s">
        <v>143</v>
      </c>
      <c r="D40" s="3" t="s">
        <v>589</v>
      </c>
      <c r="E40" s="25" t="s">
        <v>878</v>
      </c>
      <c r="F40" s="3"/>
      <c r="G40" s="3"/>
      <c r="K40" s="13" t="str">
        <f aca="false">_xlfn.IFS(F40="","", F40=C40,1, F40&lt;&gt;C40,0)</f>
        <v/>
      </c>
      <c r="L40" s="13" t="str">
        <f aca="false">_xlfn.IFS(G40="","", G40=D40,1, G40&lt;&gt;D40,0)</f>
        <v/>
      </c>
    </row>
    <row r="41" customFormat="false" ht="13.8" hidden="false" customHeight="false" outlineLevel="0" collapsed="false">
      <c r="A41" s="3" t="n">
        <v>40</v>
      </c>
      <c r="B41" s="3" t="s">
        <v>270</v>
      </c>
      <c r="C41" s="3" t="s">
        <v>105</v>
      </c>
      <c r="D41" s="3" t="s">
        <v>61</v>
      </c>
      <c r="E41" s="25" t="s">
        <v>874</v>
      </c>
      <c r="F41" s="3"/>
      <c r="G41" s="3"/>
      <c r="K41" s="13" t="str">
        <f aca="false">_xlfn.IFS(F41="","", F41=C41,1, F41&lt;&gt;C41,0)</f>
        <v/>
      </c>
      <c r="L41" s="13" t="str">
        <f aca="false">_xlfn.IFS(G41="","", G41=D41,1, G41&lt;&gt;D41,0)</f>
        <v/>
      </c>
    </row>
    <row r="42" customFormat="false" ht="13.8" hidden="false" customHeight="false" outlineLevel="0" collapsed="false">
      <c r="A42" s="3" t="n">
        <v>41</v>
      </c>
      <c r="B42" s="3" t="s">
        <v>324</v>
      </c>
      <c r="C42" s="3" t="s">
        <v>105</v>
      </c>
      <c r="D42" s="3" t="s">
        <v>77</v>
      </c>
      <c r="E42" s="25" t="s">
        <v>877</v>
      </c>
      <c r="F42" s="3" t="s">
        <v>879</v>
      </c>
      <c r="G42" s="3"/>
      <c r="K42" s="13" t="n">
        <f aca="false">_xlfn.IFS(F42="","", F42=C42,1, F42&lt;&gt;C42,0)</f>
        <v>0</v>
      </c>
      <c r="L42" s="13" t="str">
        <f aca="false">_xlfn.IFS(G42="","", G42=D42,1, G42&lt;&gt;D42,0)</f>
        <v/>
      </c>
    </row>
    <row r="43" customFormat="false" ht="13.8" hidden="false" customHeight="false" outlineLevel="0" collapsed="false">
      <c r="A43" s="3" t="n">
        <v>42</v>
      </c>
      <c r="B43" s="3" t="s">
        <v>473</v>
      </c>
      <c r="C43" s="3" t="s">
        <v>105</v>
      </c>
      <c r="D43" s="3" t="s">
        <v>61</v>
      </c>
      <c r="E43" s="25" t="s">
        <v>874</v>
      </c>
      <c r="F43" s="3" t="s">
        <v>105</v>
      </c>
      <c r="G43" s="3"/>
      <c r="K43" s="13" t="n">
        <f aca="false">_xlfn.IFS(F43="","", F43=C43,1, F43&lt;&gt;C43,0)</f>
        <v>1</v>
      </c>
      <c r="L43" s="13" t="str">
        <f aca="false">_xlfn.IFS(G43="","", G43=D43,1, G43&lt;&gt;D43,0)</f>
        <v/>
      </c>
    </row>
    <row r="44" customFormat="false" ht="13.8" hidden="false" customHeight="false" outlineLevel="0" collapsed="false">
      <c r="A44" s="3" t="n">
        <v>43</v>
      </c>
      <c r="B44" s="3" t="s">
        <v>271</v>
      </c>
      <c r="C44" s="3" t="s">
        <v>133</v>
      </c>
      <c r="D44" s="3" t="s">
        <v>65</v>
      </c>
      <c r="E44" s="25" t="s">
        <v>874</v>
      </c>
      <c r="F44" s="3"/>
      <c r="G44" s="3"/>
      <c r="K44" s="13" t="str">
        <f aca="false">_xlfn.IFS(F44="","", F44=C44,1, F44&lt;&gt;C44,0)</f>
        <v/>
      </c>
      <c r="L44" s="13" t="str">
        <f aca="false">_xlfn.IFS(G44="","", G44=D44,1, G44&lt;&gt;D44,0)</f>
        <v/>
      </c>
    </row>
    <row r="45" customFormat="false" ht="13.8" hidden="false" customHeight="false" outlineLevel="0" collapsed="false">
      <c r="A45" s="3" t="n">
        <v>44</v>
      </c>
      <c r="B45" s="3" t="s">
        <v>380</v>
      </c>
      <c r="C45" s="3" t="s">
        <v>105</v>
      </c>
      <c r="D45" s="3" t="s">
        <v>61</v>
      </c>
      <c r="E45" s="25" t="s">
        <v>874</v>
      </c>
      <c r="F45" s="3" t="s">
        <v>105</v>
      </c>
      <c r="G45" s="3"/>
      <c r="K45" s="13" t="n">
        <f aca="false">_xlfn.IFS(F45="","", F45=C45,1, F45&lt;&gt;C45,0)</f>
        <v>1</v>
      </c>
      <c r="L45" s="13" t="str">
        <f aca="false">_xlfn.IFS(G45="","", G45=D45,1, G45&lt;&gt;D45,0)</f>
        <v/>
      </c>
    </row>
    <row r="46" customFormat="false" ht="13.8" hidden="false" customHeight="false" outlineLevel="0" collapsed="false">
      <c r="A46" s="3" t="n">
        <v>45</v>
      </c>
      <c r="B46" s="3" t="s">
        <v>205</v>
      </c>
      <c r="C46" s="3" t="s">
        <v>150</v>
      </c>
      <c r="D46" s="3" t="s">
        <v>75</v>
      </c>
      <c r="E46" s="25" t="s">
        <v>874</v>
      </c>
      <c r="F46" s="3" t="s">
        <v>105</v>
      </c>
      <c r="G46" s="3" t="s">
        <v>61</v>
      </c>
      <c r="K46" s="13" t="n">
        <f aca="false">_xlfn.IFS(F46="","", F46=C46,1, F46&lt;&gt;C46,0)</f>
        <v>0</v>
      </c>
      <c r="L46" s="13" t="n">
        <f aca="false">_xlfn.IFS(G46="","", G46=D46,1, G46&lt;&gt;D46,0)</f>
        <v>0</v>
      </c>
    </row>
    <row r="47" customFormat="false" ht="13.8" hidden="false" customHeight="false" outlineLevel="0" collapsed="false">
      <c r="A47" s="3" t="n">
        <v>46</v>
      </c>
      <c r="B47" s="3" t="s">
        <v>447</v>
      </c>
      <c r="C47" s="3" t="s">
        <v>143</v>
      </c>
      <c r="D47" s="3" t="s">
        <v>288</v>
      </c>
      <c r="E47" s="25" t="s">
        <v>877</v>
      </c>
      <c r="F47" s="3" t="s">
        <v>879</v>
      </c>
      <c r="G47" s="3"/>
      <c r="K47" s="13" t="n">
        <f aca="false">_xlfn.IFS(F47="","", F47=C47,1, F47&lt;&gt;C47,0)</f>
        <v>0</v>
      </c>
      <c r="L47" s="13" t="str">
        <f aca="false">_xlfn.IFS(G47="","", G47=D47,1, G47&lt;&gt;D47,0)</f>
        <v/>
      </c>
    </row>
    <row r="48" customFormat="false" ht="13.8" hidden="false" customHeight="false" outlineLevel="0" collapsed="false">
      <c r="A48" s="3" t="n">
        <v>47</v>
      </c>
      <c r="B48" s="3" t="s">
        <v>463</v>
      </c>
      <c r="C48" s="3" t="s">
        <v>105</v>
      </c>
      <c r="D48" s="3" t="s">
        <v>61</v>
      </c>
      <c r="E48" s="25" t="s">
        <v>877</v>
      </c>
      <c r="F48" s="3" t="s">
        <v>879</v>
      </c>
      <c r="G48" s="3"/>
      <c r="K48" s="13" t="n">
        <f aca="false">_xlfn.IFS(F48="","", F48=C48,1, F48&lt;&gt;C48,0)</f>
        <v>0</v>
      </c>
      <c r="L48" s="13" t="str">
        <f aca="false">_xlfn.IFS(G48="","", G48=D48,1, G48&lt;&gt;D48,0)</f>
        <v/>
      </c>
    </row>
    <row r="49" customFormat="false" ht="13.8" hidden="false" customHeight="false" outlineLevel="0" collapsed="false">
      <c r="A49" s="3" t="n">
        <v>48</v>
      </c>
      <c r="B49" s="3" t="s">
        <v>172</v>
      </c>
      <c r="C49" s="3" t="s">
        <v>105</v>
      </c>
      <c r="D49" s="3" t="s">
        <v>61</v>
      </c>
      <c r="E49" s="25" t="s">
        <v>877</v>
      </c>
      <c r="F49" s="3" t="s">
        <v>879</v>
      </c>
      <c r="G49" s="3"/>
      <c r="K49" s="13" t="n">
        <f aca="false">_xlfn.IFS(F49="","", F49=C49,1, F49&lt;&gt;C49,0)</f>
        <v>0</v>
      </c>
      <c r="L49" s="13" t="str">
        <f aca="false">_xlfn.IFS(G49="","", G49=D49,1, G49&lt;&gt;D49,0)</f>
        <v/>
      </c>
    </row>
    <row r="50" customFormat="false" ht="13.8" hidden="false" customHeight="false" outlineLevel="0" collapsed="false">
      <c r="A50" s="3" t="n">
        <v>49</v>
      </c>
      <c r="B50" s="3" t="s">
        <v>759</v>
      </c>
      <c r="C50" s="3" t="s">
        <v>105</v>
      </c>
      <c r="D50" s="3" t="s">
        <v>61</v>
      </c>
      <c r="E50" s="25" t="s">
        <v>874</v>
      </c>
      <c r="F50" s="3" t="s">
        <v>105</v>
      </c>
      <c r="G50" s="3" t="s">
        <v>61</v>
      </c>
      <c r="K50" s="13" t="n">
        <f aca="false">_xlfn.IFS(F50="","", F50=C50,1, F50&lt;&gt;C50,0)</f>
        <v>1</v>
      </c>
      <c r="L50" s="13" t="n">
        <f aca="false">_xlfn.IFS(G50="","", G50=D50,1, G50&lt;&gt;D50,0)</f>
        <v>1</v>
      </c>
    </row>
    <row r="51" customFormat="false" ht="13.8" hidden="false" customHeight="false" outlineLevel="0" collapsed="false">
      <c r="A51" s="3" t="n">
        <v>50</v>
      </c>
      <c r="B51" s="3" t="s">
        <v>566</v>
      </c>
      <c r="C51" s="3" t="s">
        <v>150</v>
      </c>
      <c r="D51" s="3" t="s">
        <v>254</v>
      </c>
      <c r="E51" s="25" t="s">
        <v>878</v>
      </c>
      <c r="F51" s="3"/>
      <c r="G51" s="3"/>
      <c r="K51" s="13" t="str">
        <f aca="false">_xlfn.IFS(F51="","", F51=C51,1, F51&lt;&gt;C51,0)</f>
        <v/>
      </c>
      <c r="L51" s="13" t="str">
        <f aca="false">_xlfn.IFS(G51="","", G51=D51,1, G51&lt;&gt;D51,0)</f>
        <v/>
      </c>
    </row>
    <row r="52" customFormat="false" ht="13.8" hidden="false" customHeight="false" outlineLevel="0" collapsed="false">
      <c r="A52" s="3" t="n">
        <v>51</v>
      </c>
      <c r="B52" s="3" t="s">
        <v>410</v>
      </c>
      <c r="C52" s="3" t="s">
        <v>133</v>
      </c>
      <c r="D52" s="3" t="s">
        <v>65</v>
      </c>
      <c r="E52" s="25" t="s">
        <v>877</v>
      </c>
      <c r="F52" s="3" t="s">
        <v>879</v>
      </c>
      <c r="G52" s="3"/>
      <c r="K52" s="13" t="n">
        <f aca="false">_xlfn.IFS(F52="","", F52=C52,1, F52&lt;&gt;C52,0)</f>
        <v>0</v>
      </c>
      <c r="L52" s="13" t="str">
        <f aca="false">_xlfn.IFS(G52="","", G52=D52,1, G52&lt;&gt;D52,0)</f>
        <v/>
      </c>
    </row>
    <row r="53" customFormat="false" ht="13.8" hidden="false" customHeight="false" outlineLevel="0" collapsed="false">
      <c r="A53" s="3" t="n">
        <v>52</v>
      </c>
      <c r="B53" s="3" t="s">
        <v>206</v>
      </c>
      <c r="C53" s="3" t="s">
        <v>143</v>
      </c>
      <c r="D53" s="3" t="s">
        <v>198</v>
      </c>
      <c r="E53" s="25" t="s">
        <v>874</v>
      </c>
      <c r="F53" s="3" t="s">
        <v>105</v>
      </c>
      <c r="G53" s="3" t="s">
        <v>61</v>
      </c>
      <c r="K53" s="13" t="n">
        <f aca="false">_xlfn.IFS(F53="","", F53=C53,1, F53&lt;&gt;C53,0)</f>
        <v>0</v>
      </c>
      <c r="L53" s="13" t="n">
        <f aca="false">_xlfn.IFS(G53="","", G53=D53,1, G53&lt;&gt;D53,0)</f>
        <v>0</v>
      </c>
    </row>
    <row r="54" customFormat="false" ht="13.8" hidden="false" customHeight="false" outlineLevel="0" collapsed="false">
      <c r="A54" s="3" t="n">
        <v>53</v>
      </c>
      <c r="B54" s="3" t="s">
        <v>455</v>
      </c>
      <c r="C54" s="3" t="s">
        <v>105</v>
      </c>
      <c r="D54" s="3" t="s">
        <v>77</v>
      </c>
      <c r="E54" s="25" t="s">
        <v>874</v>
      </c>
      <c r="F54" s="3" t="s">
        <v>105</v>
      </c>
      <c r="G54" s="3" t="s">
        <v>61</v>
      </c>
      <c r="K54" s="13" t="n">
        <f aca="false">_xlfn.IFS(F54="","", F54=C54,1, F54&lt;&gt;C54,0)</f>
        <v>1</v>
      </c>
      <c r="L54" s="13" t="n">
        <f aca="false">_xlfn.IFS(G54="","", G54=D54,1, G54&lt;&gt;D54,0)</f>
        <v>0</v>
      </c>
    </row>
    <row r="55" customFormat="false" ht="13.8" hidden="false" customHeight="false" outlineLevel="0" collapsed="false">
      <c r="A55" s="3" t="n">
        <v>54</v>
      </c>
      <c r="B55" s="3" t="s">
        <v>761</v>
      </c>
      <c r="C55" s="3" t="s">
        <v>105</v>
      </c>
      <c r="D55" s="3" t="s">
        <v>61</v>
      </c>
      <c r="E55" s="25" t="s">
        <v>874</v>
      </c>
      <c r="F55" s="3" t="s">
        <v>105</v>
      </c>
      <c r="G55" s="3" t="s">
        <v>61</v>
      </c>
      <c r="K55" s="13" t="n">
        <f aca="false">_xlfn.IFS(F55="","", F55=C55,1, F55&lt;&gt;C55,0)</f>
        <v>1</v>
      </c>
      <c r="L55" s="13" t="n">
        <f aca="false">_xlfn.IFS(G55="","", G55=D55,1, G55&lt;&gt;D55,0)</f>
        <v>1</v>
      </c>
    </row>
    <row r="56" customFormat="false" ht="13.8" hidden="false" customHeight="false" outlineLevel="0" collapsed="false">
      <c r="A56" s="3" t="n">
        <v>55</v>
      </c>
      <c r="B56" s="3" t="s">
        <v>354</v>
      </c>
      <c r="C56" s="3" t="s">
        <v>105</v>
      </c>
      <c r="D56" s="3" t="s">
        <v>61</v>
      </c>
      <c r="E56" s="25" t="s">
        <v>874</v>
      </c>
      <c r="F56" s="3" t="s">
        <v>105</v>
      </c>
      <c r="G56" s="3" t="s">
        <v>61</v>
      </c>
      <c r="K56" s="13" t="n">
        <f aca="false">_xlfn.IFS(F56="","", F56=C56,1, F56&lt;&gt;C56,0)</f>
        <v>1</v>
      </c>
      <c r="L56" s="13" t="n">
        <f aca="false">_xlfn.IFS(G56="","", G56=D56,1, G56&lt;&gt;D56,0)</f>
        <v>1</v>
      </c>
    </row>
    <row r="57" customFormat="false" ht="13.8" hidden="false" customHeight="false" outlineLevel="0" collapsed="false">
      <c r="A57" s="3" t="n">
        <v>56</v>
      </c>
      <c r="B57" s="3" t="s">
        <v>579</v>
      </c>
      <c r="C57" s="3" t="s">
        <v>150</v>
      </c>
      <c r="D57" s="3" t="s">
        <v>75</v>
      </c>
      <c r="E57" s="25" t="s">
        <v>874</v>
      </c>
      <c r="F57" s="3" t="s">
        <v>105</v>
      </c>
      <c r="G57" s="3" t="s">
        <v>61</v>
      </c>
      <c r="K57" s="13" t="n">
        <f aca="false">_xlfn.IFS(F57="","", F57=C57,1, F57&lt;&gt;C57,0)</f>
        <v>0</v>
      </c>
      <c r="L57" s="13" t="n">
        <f aca="false">_xlfn.IFS(G57="","", G57=D57,1, G57&lt;&gt;D57,0)</f>
        <v>0</v>
      </c>
    </row>
    <row r="58" customFormat="false" ht="13.8" hidden="false" customHeight="false" outlineLevel="0" collapsed="false">
      <c r="A58" s="3" t="n">
        <v>57</v>
      </c>
      <c r="B58" s="3" t="s">
        <v>272</v>
      </c>
      <c r="C58" s="3" t="s">
        <v>105</v>
      </c>
      <c r="D58" s="3" t="s">
        <v>61</v>
      </c>
      <c r="E58" s="25" t="s">
        <v>877</v>
      </c>
      <c r="F58" s="3" t="s">
        <v>879</v>
      </c>
      <c r="G58" s="3"/>
      <c r="K58" s="13" t="n">
        <f aca="false">_xlfn.IFS(F58="","", F58=C58,1, F58&lt;&gt;C58,0)</f>
        <v>0</v>
      </c>
      <c r="L58" s="13" t="str">
        <f aca="false">_xlfn.IFS(G58="","", G58=D58,1, G58&lt;&gt;D58,0)</f>
        <v/>
      </c>
    </row>
    <row r="59" customFormat="false" ht="13.8" hidden="false" customHeight="false" outlineLevel="0" collapsed="false">
      <c r="A59" s="3" t="n">
        <v>58</v>
      </c>
      <c r="B59" s="3" t="s">
        <v>516</v>
      </c>
      <c r="C59" s="3" t="s">
        <v>105</v>
      </c>
      <c r="D59" s="3" t="s">
        <v>61</v>
      </c>
      <c r="E59" s="25" t="s">
        <v>874</v>
      </c>
      <c r="F59" s="3"/>
      <c r="G59" s="3"/>
      <c r="K59" s="13" t="str">
        <f aca="false">_xlfn.IFS(F59="","", F59=C59,1, F59&lt;&gt;C59,0)</f>
        <v/>
      </c>
      <c r="L59" s="13" t="str">
        <f aca="false">_xlfn.IFS(G59="","", G59=D59,1, G59&lt;&gt;D59,0)</f>
        <v/>
      </c>
    </row>
    <row r="60" customFormat="false" ht="13.8" hidden="false" customHeight="false" outlineLevel="0" collapsed="false">
      <c r="A60" s="3" t="n">
        <v>59</v>
      </c>
      <c r="B60" s="3" t="s">
        <v>360</v>
      </c>
      <c r="C60" s="3" t="s">
        <v>150</v>
      </c>
      <c r="D60" s="3" t="s">
        <v>83</v>
      </c>
      <c r="E60" s="25" t="s">
        <v>878</v>
      </c>
      <c r="F60" s="3"/>
      <c r="G60" s="3"/>
      <c r="K60" s="13" t="str">
        <f aca="false">_xlfn.IFS(F60="","", F60=C60,1, F60&lt;&gt;C60,0)</f>
        <v/>
      </c>
      <c r="L60" s="13" t="str">
        <f aca="false">_xlfn.IFS(G60="","", G60=D60,1, G60&lt;&gt;D60,0)</f>
        <v/>
      </c>
    </row>
    <row r="61" customFormat="false" ht="13.8" hidden="false" customHeight="false" outlineLevel="0" collapsed="false">
      <c r="A61" s="3" t="n">
        <v>60</v>
      </c>
      <c r="B61" s="3" t="s">
        <v>582</v>
      </c>
      <c r="C61" s="3" t="s">
        <v>105</v>
      </c>
      <c r="D61" s="3" t="s">
        <v>61</v>
      </c>
      <c r="E61" s="25" t="s">
        <v>877</v>
      </c>
      <c r="F61" s="3" t="s">
        <v>879</v>
      </c>
      <c r="G61" s="3"/>
      <c r="K61" s="13" t="n">
        <f aca="false">_xlfn.IFS(F61="","", F61=C61,1, F61&lt;&gt;C61,0)</f>
        <v>0</v>
      </c>
      <c r="L61" s="13" t="str">
        <f aca="false">_xlfn.IFS(G61="","", G61=D61,1, G61&lt;&gt;D61,0)</f>
        <v/>
      </c>
    </row>
    <row r="62" customFormat="false" ht="13.8" hidden="false" customHeight="false" outlineLevel="0" collapsed="false">
      <c r="A62" s="3" t="n">
        <v>61</v>
      </c>
      <c r="B62" s="3" t="s">
        <v>405</v>
      </c>
      <c r="C62" s="3" t="s">
        <v>143</v>
      </c>
      <c r="D62" s="3" t="s">
        <v>198</v>
      </c>
      <c r="E62" s="25" t="s">
        <v>877</v>
      </c>
      <c r="F62" s="3" t="s">
        <v>879</v>
      </c>
      <c r="G62" s="3"/>
      <c r="K62" s="13" t="n">
        <f aca="false">_xlfn.IFS(F62="","", F62=C62,1, F62&lt;&gt;C62,0)</f>
        <v>0</v>
      </c>
      <c r="L62" s="13" t="str">
        <f aca="false">_xlfn.IFS(G62="","", G62=D62,1, G62&lt;&gt;D62,0)</f>
        <v/>
      </c>
    </row>
    <row r="63" customFormat="false" ht="13.8" hidden="false" customHeight="false" outlineLevel="0" collapsed="false">
      <c r="A63" s="3" t="n">
        <v>62</v>
      </c>
      <c r="B63" s="3" t="s">
        <v>720</v>
      </c>
      <c r="C63" s="3" t="s">
        <v>105</v>
      </c>
      <c r="D63" s="3" t="s">
        <v>61</v>
      </c>
      <c r="E63" s="25" t="s">
        <v>874</v>
      </c>
      <c r="F63" s="3" t="s">
        <v>105</v>
      </c>
      <c r="G63" s="3" t="s">
        <v>61</v>
      </c>
      <c r="K63" s="13" t="n">
        <f aca="false">_xlfn.IFS(F63="","", F63=C63,1, F63&lt;&gt;C63,0)</f>
        <v>1</v>
      </c>
      <c r="L63" s="13" t="n">
        <f aca="false">_xlfn.IFS(G63="","", G63=D63,1, G63&lt;&gt;D63,0)</f>
        <v>1</v>
      </c>
    </row>
    <row r="64" customFormat="false" ht="13.8" hidden="false" customHeight="false" outlineLevel="0" collapsed="false">
      <c r="A64" s="3" t="n">
        <v>63</v>
      </c>
      <c r="B64" s="3" t="s">
        <v>207</v>
      </c>
      <c r="C64" s="3" t="s">
        <v>105</v>
      </c>
      <c r="D64" s="3" t="s">
        <v>61</v>
      </c>
      <c r="E64" s="25" t="s">
        <v>877</v>
      </c>
      <c r="F64" s="3" t="s">
        <v>879</v>
      </c>
      <c r="G64" s="3"/>
      <c r="K64" s="13" t="n">
        <f aca="false">_xlfn.IFS(F64="","", F64=C64,1, F64&lt;&gt;C64,0)</f>
        <v>0</v>
      </c>
      <c r="L64" s="13" t="str">
        <f aca="false">_xlfn.IFS(G64="","", G64=D64,1, G64&lt;&gt;D64,0)</f>
        <v/>
      </c>
    </row>
    <row r="65" customFormat="false" ht="13.8" hidden="false" customHeight="false" outlineLevel="0" collapsed="false">
      <c r="A65" s="3" t="n">
        <v>64</v>
      </c>
      <c r="B65" s="3" t="s">
        <v>499</v>
      </c>
      <c r="C65" s="3" t="s">
        <v>105</v>
      </c>
      <c r="D65" s="3" t="s">
        <v>61</v>
      </c>
      <c r="E65" s="25" t="s">
        <v>874</v>
      </c>
      <c r="F65" s="3" t="s">
        <v>105</v>
      </c>
      <c r="G65" s="3"/>
      <c r="K65" s="13" t="n">
        <f aca="false">_xlfn.IFS(F65="","", F65=C65,1, F65&lt;&gt;C65,0)</f>
        <v>1</v>
      </c>
      <c r="L65" s="13" t="str">
        <f aca="false">_xlfn.IFS(G65="","", G65=D65,1, G65&lt;&gt;D65,0)</f>
        <v/>
      </c>
    </row>
    <row r="66" customFormat="false" ht="13.8" hidden="false" customHeight="false" outlineLevel="0" collapsed="false">
      <c r="A66" s="3" t="n">
        <v>65</v>
      </c>
      <c r="B66" s="3" t="s">
        <v>348</v>
      </c>
      <c r="C66" s="3" t="s">
        <v>143</v>
      </c>
      <c r="D66" s="3" t="s">
        <v>198</v>
      </c>
      <c r="E66" s="25" t="s">
        <v>877</v>
      </c>
      <c r="F66" s="3" t="s">
        <v>879</v>
      </c>
      <c r="G66" s="3"/>
      <c r="K66" s="13" t="n">
        <f aca="false">_xlfn.IFS(F66="","", F66=C66,1, F66&lt;&gt;C66,0)</f>
        <v>0</v>
      </c>
      <c r="L66" s="13" t="str">
        <f aca="false">_xlfn.IFS(G66="","", G66=D66,1, G66&lt;&gt;D66,0)</f>
        <v/>
      </c>
    </row>
    <row r="67" customFormat="false" ht="13.8" hidden="false" customHeight="false" outlineLevel="0" collapsed="false">
      <c r="A67" s="3" t="n">
        <v>66</v>
      </c>
      <c r="B67" s="3" t="s">
        <v>168</v>
      </c>
      <c r="C67" s="3" t="s">
        <v>105</v>
      </c>
      <c r="D67" s="3" t="s">
        <v>61</v>
      </c>
      <c r="E67" s="25" t="s">
        <v>877</v>
      </c>
      <c r="F67" s="3" t="s">
        <v>879</v>
      </c>
      <c r="G67" s="3"/>
      <c r="K67" s="13" t="n">
        <f aca="false">_xlfn.IFS(F67="","", F67=C67,1, F67&lt;&gt;C67,0)</f>
        <v>0</v>
      </c>
      <c r="L67" s="13" t="str">
        <f aca="false">_xlfn.IFS(G67="","", G67=D67,1, G67&lt;&gt;D67,0)</f>
        <v/>
      </c>
    </row>
    <row r="68" customFormat="false" ht="13.8" hidden="false" customHeight="false" outlineLevel="0" collapsed="false">
      <c r="A68" s="3" t="n">
        <v>67</v>
      </c>
      <c r="B68" s="3" t="s">
        <v>208</v>
      </c>
      <c r="C68" s="3" t="s">
        <v>143</v>
      </c>
      <c r="D68" s="3" t="s">
        <v>198</v>
      </c>
      <c r="E68" s="25" t="s">
        <v>874</v>
      </c>
      <c r="F68" s="3" t="s">
        <v>105</v>
      </c>
      <c r="G68" s="3"/>
      <c r="K68" s="13" t="n">
        <f aca="false">_xlfn.IFS(F68="","", F68=C68,1, F68&lt;&gt;C68,0)</f>
        <v>0</v>
      </c>
      <c r="L68" s="13" t="str">
        <f aca="false">_xlfn.IFS(G68="","", G68=D68,1, G68&lt;&gt;D68,0)</f>
        <v/>
      </c>
    </row>
    <row r="69" customFormat="false" ht="13.8" hidden="false" customHeight="false" outlineLevel="0" collapsed="false">
      <c r="A69" s="3" t="n">
        <v>68</v>
      </c>
      <c r="B69" s="3" t="s">
        <v>209</v>
      </c>
      <c r="C69" s="3" t="s">
        <v>150</v>
      </c>
      <c r="D69" s="3" t="s">
        <v>75</v>
      </c>
      <c r="E69" s="25" t="s">
        <v>877</v>
      </c>
      <c r="F69" s="3" t="s">
        <v>879</v>
      </c>
      <c r="G69" s="3"/>
      <c r="K69" s="13" t="n">
        <f aca="false">_xlfn.IFS(F69="","", F69=C69,1, F69&lt;&gt;C69,0)</f>
        <v>0</v>
      </c>
      <c r="L69" s="13" t="str">
        <f aca="false">_xlfn.IFS(G69="","", G69=D69,1, G69&lt;&gt;D69,0)</f>
        <v/>
      </c>
    </row>
    <row r="70" customFormat="false" ht="13.8" hidden="false" customHeight="false" outlineLevel="0" collapsed="false">
      <c r="A70" s="3" t="n">
        <v>69</v>
      </c>
      <c r="B70" s="3" t="s">
        <v>664</v>
      </c>
      <c r="C70" s="3" t="s">
        <v>143</v>
      </c>
      <c r="D70" s="3" t="s">
        <v>198</v>
      </c>
      <c r="E70" s="25" t="s">
        <v>877</v>
      </c>
      <c r="F70" s="3" t="s">
        <v>879</v>
      </c>
      <c r="G70" s="3"/>
      <c r="K70" s="13" t="n">
        <f aca="false">_xlfn.IFS(F70="","", F70=C70,1, F70&lt;&gt;C70,0)</f>
        <v>0</v>
      </c>
      <c r="L70" s="13" t="str">
        <f aca="false">_xlfn.IFS(G70="","", G70=D70,1, G70&lt;&gt;D70,0)</f>
        <v/>
      </c>
    </row>
    <row r="71" customFormat="false" ht="13.8" hidden="false" customHeight="false" outlineLevel="0" collapsed="false">
      <c r="A71" s="3" t="n">
        <v>70</v>
      </c>
      <c r="B71" s="3" t="s">
        <v>210</v>
      </c>
      <c r="C71" s="3" t="s">
        <v>105</v>
      </c>
      <c r="D71" s="3" t="s">
        <v>61</v>
      </c>
      <c r="E71" s="25" t="s">
        <v>877</v>
      </c>
      <c r="F71" s="3" t="s">
        <v>879</v>
      </c>
      <c r="G71" s="3"/>
      <c r="K71" s="13" t="n">
        <f aca="false">_xlfn.IFS(F71="","", F71=C71,1, F71&lt;&gt;C71,0)</f>
        <v>0</v>
      </c>
      <c r="L71" s="13" t="str">
        <f aca="false">_xlfn.IFS(G71="","", G71=D71,1, G71&lt;&gt;D71,0)</f>
        <v/>
      </c>
    </row>
    <row r="72" customFormat="false" ht="13.8" hidden="false" customHeight="false" outlineLevel="0" collapsed="false">
      <c r="A72" s="3" t="n">
        <v>71</v>
      </c>
      <c r="B72" s="3" t="s">
        <v>800</v>
      </c>
      <c r="C72" s="3" t="s">
        <v>105</v>
      </c>
      <c r="D72" s="3" t="s">
        <v>61</v>
      </c>
      <c r="E72" s="25" t="s">
        <v>877</v>
      </c>
      <c r="F72" s="3" t="s">
        <v>879</v>
      </c>
      <c r="G72" s="3"/>
      <c r="K72" s="13" t="n">
        <f aca="false">_xlfn.IFS(F72="","", F72=C72,1, F72&lt;&gt;C72,0)</f>
        <v>0</v>
      </c>
      <c r="L72" s="13" t="str">
        <f aca="false">_xlfn.IFS(G72="","", G72=D72,1, G72&lt;&gt;D72,0)</f>
        <v/>
      </c>
    </row>
    <row r="73" customFormat="false" ht="13.8" hidden="false" customHeight="false" outlineLevel="0" collapsed="false">
      <c r="A73" s="3" t="n">
        <v>72</v>
      </c>
      <c r="B73" s="3" t="s">
        <v>471</v>
      </c>
      <c r="C73" s="3" t="s">
        <v>105</v>
      </c>
      <c r="D73" s="3" t="s">
        <v>61</v>
      </c>
      <c r="E73" s="25" t="s">
        <v>877</v>
      </c>
      <c r="F73" s="3" t="s">
        <v>879</v>
      </c>
      <c r="G73" s="3"/>
      <c r="K73" s="13" t="n">
        <f aca="false">_xlfn.IFS(F73="","", F73=C73,1, F73&lt;&gt;C73,0)</f>
        <v>0</v>
      </c>
      <c r="L73" s="13" t="str">
        <f aca="false">_xlfn.IFS(G73="","", G73=D73,1, G73&lt;&gt;D73,0)</f>
        <v/>
      </c>
    </row>
    <row r="74" customFormat="false" ht="13.8" hidden="false" customHeight="false" outlineLevel="0" collapsed="false">
      <c r="A74" s="3" t="n">
        <v>73</v>
      </c>
      <c r="B74" s="3" t="s">
        <v>361</v>
      </c>
      <c r="C74" s="3" t="s">
        <v>105</v>
      </c>
      <c r="D74" s="3" t="s">
        <v>61</v>
      </c>
      <c r="E74" s="25" t="s">
        <v>874</v>
      </c>
      <c r="F74" s="3" t="s">
        <v>105</v>
      </c>
      <c r="G74" s="3" t="s">
        <v>61</v>
      </c>
      <c r="K74" s="13" t="n">
        <f aca="false">_xlfn.IFS(F74="","", F74=C74,1, F74&lt;&gt;C74,0)</f>
        <v>1</v>
      </c>
      <c r="L74" s="13" t="n">
        <f aca="false">_xlfn.IFS(G74="","", G74=D74,1, G74&lt;&gt;D74,0)</f>
        <v>1</v>
      </c>
    </row>
    <row r="75" customFormat="false" ht="13.8" hidden="false" customHeight="false" outlineLevel="0" collapsed="false">
      <c r="A75" s="3" t="n">
        <v>74</v>
      </c>
      <c r="B75" s="3" t="s">
        <v>212</v>
      </c>
      <c r="C75" s="3" t="s">
        <v>105</v>
      </c>
      <c r="D75" s="3" t="s">
        <v>55</v>
      </c>
      <c r="E75" s="25" t="s">
        <v>874</v>
      </c>
      <c r="F75" s="3" t="s">
        <v>105</v>
      </c>
      <c r="G75" s="3" t="s">
        <v>61</v>
      </c>
      <c r="K75" s="13" t="n">
        <f aca="false">_xlfn.IFS(F75="","", F75=C75,1, F75&lt;&gt;C75,0)</f>
        <v>1</v>
      </c>
      <c r="L75" s="13" t="n">
        <f aca="false">_xlfn.IFS(G75="","", G75=D75,1, G75&lt;&gt;D75,0)</f>
        <v>0</v>
      </c>
    </row>
    <row r="76" customFormat="false" ht="13.8" hidden="false" customHeight="false" outlineLevel="0" collapsed="false">
      <c r="A76" s="3" t="n">
        <v>75</v>
      </c>
      <c r="B76" s="3" t="s">
        <v>325</v>
      </c>
      <c r="C76" s="3" t="s">
        <v>105</v>
      </c>
      <c r="D76" s="3" t="s">
        <v>77</v>
      </c>
      <c r="E76" s="25" t="s">
        <v>874</v>
      </c>
      <c r="F76" s="3" t="s">
        <v>105</v>
      </c>
      <c r="G76" s="3" t="s">
        <v>55</v>
      </c>
      <c r="K76" s="13" t="n">
        <f aca="false">_xlfn.IFS(F76="","", F76=C76,1, F76&lt;&gt;C76,0)</f>
        <v>1</v>
      </c>
      <c r="L76" s="13" t="n">
        <f aca="false">_xlfn.IFS(G76="","", G76=D76,1, G76&lt;&gt;D76,0)</f>
        <v>0</v>
      </c>
    </row>
    <row r="77" customFormat="false" ht="13.8" hidden="false" customHeight="false" outlineLevel="0" collapsed="false">
      <c r="A77" s="3" t="n">
        <v>76</v>
      </c>
      <c r="B77" s="3" t="s">
        <v>214</v>
      </c>
      <c r="C77" s="3" t="s">
        <v>105</v>
      </c>
      <c r="D77" s="3" t="s">
        <v>61</v>
      </c>
      <c r="E77" s="25" t="s">
        <v>874</v>
      </c>
      <c r="F77" s="3" t="s">
        <v>105</v>
      </c>
      <c r="G77" s="3" t="s">
        <v>61</v>
      </c>
      <c r="K77" s="13" t="n">
        <f aca="false">_xlfn.IFS(F77="","", F77=C77,1, F77&lt;&gt;C77,0)</f>
        <v>1</v>
      </c>
      <c r="L77" s="13" t="n">
        <f aca="false">_xlfn.IFS(G77="","", G77=D77,1, G77&lt;&gt;D77,0)</f>
        <v>1</v>
      </c>
    </row>
    <row r="78" customFormat="false" ht="13.8" hidden="false" customHeight="false" outlineLevel="0" collapsed="false">
      <c r="A78" s="3" t="n">
        <v>77</v>
      </c>
      <c r="B78" s="3" t="s">
        <v>666</v>
      </c>
      <c r="C78" s="3" t="s">
        <v>143</v>
      </c>
      <c r="D78" s="3" t="s">
        <v>288</v>
      </c>
      <c r="E78" s="25" t="s">
        <v>874</v>
      </c>
      <c r="F78" s="3" t="s">
        <v>105</v>
      </c>
      <c r="G78" s="3" t="s">
        <v>61</v>
      </c>
      <c r="K78" s="13" t="n">
        <f aca="false">_xlfn.IFS(F78="","", F78=C78,1, F78&lt;&gt;C78,0)</f>
        <v>0</v>
      </c>
      <c r="L78" s="13" t="n">
        <f aca="false">_xlfn.IFS(G78="","", G78=D78,1, G78&lt;&gt;D78,0)</f>
        <v>0</v>
      </c>
    </row>
    <row r="79" customFormat="false" ht="13.8" hidden="false" customHeight="false" outlineLevel="0" collapsed="false">
      <c r="A79" s="3" t="n">
        <v>78</v>
      </c>
      <c r="B79" s="3" t="s">
        <v>215</v>
      </c>
      <c r="C79" s="3" t="s">
        <v>105</v>
      </c>
      <c r="D79" s="3" t="s">
        <v>61</v>
      </c>
      <c r="E79" s="25" t="s">
        <v>877</v>
      </c>
      <c r="F79" s="3" t="s">
        <v>879</v>
      </c>
      <c r="G79" s="3"/>
      <c r="K79" s="13" t="n">
        <f aca="false">_xlfn.IFS(F79="","", F79=C79,1, F79&lt;&gt;C79,0)</f>
        <v>0</v>
      </c>
      <c r="L79" s="13" t="str">
        <f aca="false">_xlfn.IFS(G79="","", G79=D79,1, G79&lt;&gt;D79,0)</f>
        <v/>
      </c>
    </row>
    <row r="80" customFormat="false" ht="13.8" hidden="false" customHeight="false" outlineLevel="0" collapsed="false">
      <c r="A80" s="3" t="n">
        <v>79</v>
      </c>
      <c r="B80" s="3" t="s">
        <v>670</v>
      </c>
      <c r="C80" s="3" t="s">
        <v>105</v>
      </c>
      <c r="D80" s="3" t="s">
        <v>61</v>
      </c>
      <c r="E80" s="25" t="s">
        <v>877</v>
      </c>
      <c r="F80" s="3" t="s">
        <v>879</v>
      </c>
      <c r="G80" s="3"/>
      <c r="K80" s="13" t="n">
        <f aca="false">_xlfn.IFS(F80="","", F80=C80,1, F80&lt;&gt;C80,0)</f>
        <v>0</v>
      </c>
      <c r="L80" s="13" t="str">
        <f aca="false">_xlfn.IFS(G80="","", G80=D80,1, G80&lt;&gt;D80,0)</f>
        <v/>
      </c>
    </row>
    <row r="81" customFormat="false" ht="13.8" hidden="false" customHeight="false" outlineLevel="0" collapsed="false">
      <c r="A81" s="3" t="n">
        <v>80</v>
      </c>
      <c r="B81" s="3" t="s">
        <v>863</v>
      </c>
      <c r="C81" s="3" t="s">
        <v>150</v>
      </c>
      <c r="D81" s="3" t="s">
        <v>75</v>
      </c>
      <c r="E81" s="25" t="s">
        <v>877</v>
      </c>
      <c r="F81" s="3" t="s">
        <v>879</v>
      </c>
      <c r="G81" s="3"/>
      <c r="K81" s="13" t="n">
        <f aca="false">_xlfn.IFS(F81="","", F81=C81,1, F81&lt;&gt;C81,0)</f>
        <v>0</v>
      </c>
      <c r="L81" s="13" t="str">
        <f aca="false">_xlfn.IFS(G81="","", G81=D81,1, G81&lt;&gt;D81,0)</f>
        <v/>
      </c>
    </row>
    <row r="82" customFormat="false" ht="13.8" hidden="false" customHeight="false" outlineLevel="0" collapsed="false">
      <c r="A82" s="3" t="n">
        <v>81</v>
      </c>
      <c r="B82" s="3" t="s">
        <v>333</v>
      </c>
      <c r="C82" s="3" t="s">
        <v>105</v>
      </c>
      <c r="D82" s="3" t="s">
        <v>61</v>
      </c>
      <c r="E82" s="25" t="s">
        <v>874</v>
      </c>
      <c r="F82" s="3" t="s">
        <v>105</v>
      </c>
      <c r="G82" s="3"/>
      <c r="K82" s="13" t="n">
        <f aca="false">_xlfn.IFS(F82="","", F82=C82,1, F82&lt;&gt;C82,0)</f>
        <v>1</v>
      </c>
      <c r="L82" s="13" t="str">
        <f aca="false">_xlfn.IFS(G82="","", G82=D82,1, G82&lt;&gt;D82,0)</f>
        <v/>
      </c>
    </row>
    <row r="83" customFormat="false" ht="13.8" hidden="false" customHeight="false" outlineLevel="0" collapsed="false">
      <c r="A83" s="3" t="n">
        <v>82</v>
      </c>
      <c r="B83" s="3" t="s">
        <v>334</v>
      </c>
      <c r="C83" s="3" t="s">
        <v>105</v>
      </c>
      <c r="D83" s="3" t="s">
        <v>61</v>
      </c>
      <c r="E83" s="25" t="s">
        <v>877</v>
      </c>
      <c r="F83" s="3" t="s">
        <v>150</v>
      </c>
      <c r="G83" s="3" t="s">
        <v>63</v>
      </c>
      <c r="K83" s="13" t="n">
        <f aca="false">_xlfn.IFS(F83="","", F83=C83,1, F83&lt;&gt;C83,0)</f>
        <v>0</v>
      </c>
      <c r="L83" s="13" t="n">
        <f aca="false">_xlfn.IFS(G83="","", G83=D83,1, G83&lt;&gt;D83,0)</f>
        <v>0</v>
      </c>
    </row>
    <row r="84" customFormat="false" ht="13.8" hidden="false" customHeight="false" outlineLevel="0" collapsed="false">
      <c r="A84" s="3" t="n">
        <v>83</v>
      </c>
      <c r="B84" s="3" t="s">
        <v>335</v>
      </c>
      <c r="C84" s="3" t="s">
        <v>105</v>
      </c>
      <c r="D84" s="3" t="s">
        <v>61</v>
      </c>
      <c r="E84" s="25" t="s">
        <v>877</v>
      </c>
      <c r="F84" s="3" t="s">
        <v>879</v>
      </c>
      <c r="G84" s="3"/>
      <c r="K84" s="13" t="n">
        <f aca="false">_xlfn.IFS(F84="","", F84=C84,1, F84&lt;&gt;C84,0)</f>
        <v>0</v>
      </c>
      <c r="L84" s="13" t="str">
        <f aca="false">_xlfn.IFS(G84="","", G84=D84,1, G84&lt;&gt;D84,0)</f>
        <v/>
      </c>
    </row>
    <row r="85" customFormat="false" ht="13.8" hidden="false" customHeight="false" outlineLevel="0" collapsed="false">
      <c r="A85" s="3" t="n">
        <v>84</v>
      </c>
      <c r="B85" s="3" t="s">
        <v>216</v>
      </c>
      <c r="C85" s="3" t="s">
        <v>105</v>
      </c>
      <c r="D85" s="3" t="s">
        <v>61</v>
      </c>
      <c r="E85" s="25" t="s">
        <v>874</v>
      </c>
      <c r="F85" s="3" t="s">
        <v>105</v>
      </c>
      <c r="G85" s="3" t="s">
        <v>61</v>
      </c>
      <c r="K85" s="13" t="n">
        <f aca="false">_xlfn.IFS(F85="","", F85=C85,1, F85&lt;&gt;C85,0)</f>
        <v>1</v>
      </c>
      <c r="L85" s="13" t="n">
        <f aca="false">_xlfn.IFS(G85="","", G85=D85,1, G85&lt;&gt;D85,0)</f>
        <v>1</v>
      </c>
    </row>
    <row r="86" customFormat="false" ht="13.8" hidden="false" customHeight="false" outlineLevel="0" collapsed="false">
      <c r="A86" s="3" t="n">
        <v>85</v>
      </c>
      <c r="B86" s="3" t="s">
        <v>609</v>
      </c>
      <c r="C86" s="3" t="s">
        <v>143</v>
      </c>
      <c r="D86" s="3" t="s">
        <v>288</v>
      </c>
      <c r="E86" s="25" t="s">
        <v>874</v>
      </c>
      <c r="F86" s="3" t="s">
        <v>105</v>
      </c>
      <c r="G86" s="3" t="s">
        <v>61</v>
      </c>
      <c r="K86" s="13" t="n">
        <f aca="false">_xlfn.IFS(F86="","", F86=C86,1, F86&lt;&gt;C86,0)</f>
        <v>0</v>
      </c>
      <c r="L86" s="13" t="n">
        <f aca="false">_xlfn.IFS(G86="","", G86=D86,1, G86&lt;&gt;D86,0)</f>
        <v>0</v>
      </c>
    </row>
    <row r="87" customFormat="false" ht="13.8" hidden="false" customHeight="false" outlineLevel="0" collapsed="false">
      <c r="A87" s="3" t="n">
        <v>86</v>
      </c>
      <c r="B87" s="3" t="s">
        <v>217</v>
      </c>
      <c r="C87" s="3" t="s">
        <v>143</v>
      </c>
      <c r="D87" s="3" t="s">
        <v>198</v>
      </c>
      <c r="E87" s="25" t="s">
        <v>874</v>
      </c>
      <c r="F87" s="3" t="s">
        <v>105</v>
      </c>
      <c r="G87" s="3" t="s">
        <v>61</v>
      </c>
      <c r="K87" s="13" t="n">
        <f aca="false">_xlfn.IFS(F87="","", F87=C87,1, F87&lt;&gt;C87,0)</f>
        <v>0</v>
      </c>
      <c r="L87" s="13" t="n">
        <f aca="false">_xlfn.IFS(G87="","", G87=D87,1, G87&lt;&gt;D87,0)</f>
        <v>0</v>
      </c>
    </row>
    <row r="88" customFormat="false" ht="13.8" hidden="false" customHeight="false" outlineLevel="0" collapsed="false">
      <c r="A88" s="3" t="n">
        <v>87</v>
      </c>
      <c r="B88" s="3" t="s">
        <v>568</v>
      </c>
      <c r="C88" s="3" t="s">
        <v>133</v>
      </c>
      <c r="D88" s="3" t="s">
        <v>65</v>
      </c>
      <c r="E88" s="25" t="s">
        <v>874</v>
      </c>
      <c r="F88" s="3" t="s">
        <v>105</v>
      </c>
      <c r="G88" s="3" t="s">
        <v>61</v>
      </c>
      <c r="K88" s="13" t="n">
        <f aca="false">_xlfn.IFS(F88="","", F88=C88,1, F88&lt;&gt;C88,0)</f>
        <v>0</v>
      </c>
      <c r="L88" s="13" t="n">
        <f aca="false">_xlfn.IFS(G88="","", G88=D88,1, G88&lt;&gt;D88,0)</f>
        <v>0</v>
      </c>
    </row>
    <row r="89" customFormat="false" ht="13.8" hidden="false" customHeight="false" outlineLevel="0" collapsed="false">
      <c r="A89" s="3" t="n">
        <v>88</v>
      </c>
      <c r="B89" s="3" t="s">
        <v>273</v>
      </c>
      <c r="C89" s="3" t="s">
        <v>105</v>
      </c>
      <c r="D89" s="3" t="s">
        <v>61</v>
      </c>
      <c r="E89" s="25" t="s">
        <v>874</v>
      </c>
      <c r="F89" s="3" t="s">
        <v>105</v>
      </c>
      <c r="G89" s="3" t="s">
        <v>61</v>
      </c>
      <c r="K89" s="13" t="n">
        <f aca="false">_xlfn.IFS(F89="","", F89=C89,1, F89&lt;&gt;C89,0)</f>
        <v>1</v>
      </c>
      <c r="L89" s="13" t="n">
        <f aca="false">_xlfn.IFS(G89="","", G89=D89,1, G89&lt;&gt;D89,0)</f>
        <v>1</v>
      </c>
    </row>
    <row r="90" customFormat="false" ht="13.8" hidden="false" customHeight="false" outlineLevel="0" collapsed="false">
      <c r="A90" s="3" t="n">
        <v>89</v>
      </c>
      <c r="B90" s="3" t="s">
        <v>104</v>
      </c>
      <c r="C90" s="3" t="s">
        <v>105</v>
      </c>
      <c r="D90" s="3" t="s">
        <v>61</v>
      </c>
      <c r="E90" s="25" t="s">
        <v>877</v>
      </c>
      <c r="F90" s="3" t="s">
        <v>879</v>
      </c>
      <c r="G90" s="3"/>
      <c r="K90" s="13" t="n">
        <f aca="false">_xlfn.IFS(F90="","", F90=C90,1, F90&lt;&gt;C90,0)</f>
        <v>0</v>
      </c>
      <c r="L90" s="13" t="str">
        <f aca="false">_xlfn.IFS(G90="","", G90=D90,1, G90&lt;&gt;D90,0)</f>
        <v/>
      </c>
    </row>
    <row r="91" customFormat="false" ht="13.8" hidden="false" customHeight="false" outlineLevel="0" collapsed="false">
      <c r="A91" s="3" t="n">
        <v>90</v>
      </c>
      <c r="B91" s="3" t="s">
        <v>585</v>
      </c>
      <c r="C91" s="3" t="s">
        <v>133</v>
      </c>
      <c r="D91" s="3" t="s">
        <v>65</v>
      </c>
      <c r="E91" s="25" t="s">
        <v>874</v>
      </c>
      <c r="F91" s="3" t="s">
        <v>105</v>
      </c>
      <c r="G91" s="3" t="s">
        <v>61</v>
      </c>
      <c r="K91" s="13" t="n">
        <f aca="false">_xlfn.IFS(F91="","", F91=C91,1, F91&lt;&gt;C91,0)</f>
        <v>0</v>
      </c>
      <c r="L91" s="13" t="n">
        <f aca="false">_xlfn.IFS(G91="","", G91=D91,1, G91&lt;&gt;D91,0)</f>
        <v>0</v>
      </c>
    </row>
    <row r="92" customFormat="false" ht="13.8" hidden="false" customHeight="false" outlineLevel="0" collapsed="false">
      <c r="A92" s="3" t="n">
        <v>91</v>
      </c>
      <c r="B92" s="3" t="s">
        <v>218</v>
      </c>
      <c r="C92" s="3" t="s">
        <v>105</v>
      </c>
      <c r="D92" s="3" t="s">
        <v>61</v>
      </c>
      <c r="E92" s="25" t="s">
        <v>878</v>
      </c>
      <c r="F92" s="3"/>
      <c r="G92" s="3"/>
      <c r="K92" s="13" t="str">
        <f aca="false">_xlfn.IFS(F92="","", F92=C92,1, F92&lt;&gt;C92,0)</f>
        <v/>
      </c>
      <c r="L92" s="13" t="str">
        <f aca="false">_xlfn.IFS(G92="","", G92=D92,1, G92&lt;&gt;D92,0)</f>
        <v/>
      </c>
    </row>
    <row r="93" customFormat="false" ht="13.8" hidden="false" customHeight="false" outlineLevel="0" collapsed="false">
      <c r="A93" s="3" t="n">
        <v>92</v>
      </c>
      <c r="B93" s="3" t="s">
        <v>310</v>
      </c>
      <c r="C93" s="3" t="s">
        <v>133</v>
      </c>
      <c r="D93" s="3" t="s">
        <v>65</v>
      </c>
      <c r="E93" s="25" t="s">
        <v>877</v>
      </c>
      <c r="F93" s="3" t="s">
        <v>879</v>
      </c>
      <c r="G93" s="3"/>
      <c r="K93" s="13" t="n">
        <f aca="false">_xlfn.IFS(F93="","", F93=C93,1, F93&lt;&gt;C93,0)</f>
        <v>0</v>
      </c>
      <c r="L93" s="13" t="str">
        <f aca="false">_xlfn.IFS(G93="","", G93=D93,1, G93&lt;&gt;D93,0)</f>
        <v/>
      </c>
    </row>
    <row r="94" customFormat="false" ht="13.8" hidden="false" customHeight="false" outlineLevel="0" collapsed="false">
      <c r="A94" s="3" t="n">
        <v>93</v>
      </c>
      <c r="B94" s="3" t="s">
        <v>580</v>
      </c>
      <c r="C94" s="3" t="s">
        <v>105</v>
      </c>
      <c r="D94" s="3" t="s">
        <v>61</v>
      </c>
      <c r="E94" s="25" t="s">
        <v>877</v>
      </c>
      <c r="F94" s="3" t="s">
        <v>879</v>
      </c>
      <c r="G94" s="3"/>
      <c r="K94" s="13" t="n">
        <f aca="false">_xlfn.IFS(F94="","", F94=C94,1, F94&lt;&gt;C94,0)</f>
        <v>0</v>
      </c>
      <c r="L94" s="13" t="str">
        <f aca="false">_xlfn.IFS(G94="","", G94=D94,1, G94&lt;&gt;D94,0)</f>
        <v/>
      </c>
    </row>
    <row r="95" customFormat="false" ht="13.8" hidden="false" customHeight="false" outlineLevel="0" collapsed="false">
      <c r="A95" s="3" t="n">
        <v>94</v>
      </c>
      <c r="B95" s="3" t="s">
        <v>355</v>
      </c>
      <c r="C95" s="3" t="s">
        <v>133</v>
      </c>
      <c r="D95" s="3" t="s">
        <v>65</v>
      </c>
      <c r="E95" s="25" t="s">
        <v>874</v>
      </c>
      <c r="F95" s="3" t="s">
        <v>105</v>
      </c>
      <c r="G95" s="3" t="s">
        <v>61</v>
      </c>
      <c r="K95" s="13" t="n">
        <f aca="false">_xlfn.IFS(F95="","", F95=C95,1, F95&lt;&gt;C95,0)</f>
        <v>0</v>
      </c>
      <c r="L95" s="13" t="n">
        <f aca="false">_xlfn.IFS(G95="","", G95=D95,1, G95&lt;&gt;D95,0)</f>
        <v>0</v>
      </c>
    </row>
    <row r="96" customFormat="false" ht="13.8" hidden="false" customHeight="false" outlineLevel="0" collapsed="false">
      <c r="A96" s="3" t="n">
        <v>95</v>
      </c>
      <c r="B96" s="3" t="s">
        <v>274</v>
      </c>
      <c r="C96" s="3" t="s">
        <v>150</v>
      </c>
      <c r="D96" s="3" t="s">
        <v>83</v>
      </c>
      <c r="E96" s="25" t="s">
        <v>877</v>
      </c>
      <c r="F96" s="3" t="s">
        <v>879</v>
      </c>
      <c r="G96" s="3"/>
      <c r="K96" s="13" t="n">
        <f aca="false">_xlfn.IFS(F96="","", F96=C96,1, F96&lt;&gt;C96,0)</f>
        <v>0</v>
      </c>
      <c r="L96" s="13" t="str">
        <f aca="false">_xlfn.IFS(G96="","", G96=D96,1, G96&lt;&gt;D96,0)</f>
        <v/>
      </c>
    </row>
    <row r="97" customFormat="false" ht="13.8" hidden="false" customHeight="false" outlineLevel="0" collapsed="false">
      <c r="A97" s="3" t="n">
        <v>96</v>
      </c>
      <c r="B97" s="3" t="s">
        <v>381</v>
      </c>
      <c r="C97" s="3" t="s">
        <v>105</v>
      </c>
      <c r="D97" s="3" t="s">
        <v>61</v>
      </c>
      <c r="E97" s="25" t="s">
        <v>877</v>
      </c>
      <c r="F97" s="3" t="s">
        <v>879</v>
      </c>
      <c r="G97" s="3"/>
      <c r="K97" s="13" t="n">
        <f aca="false">_xlfn.IFS(F97="","", F97=C97,1, F97&lt;&gt;C97,0)</f>
        <v>0</v>
      </c>
      <c r="L97" s="13" t="str">
        <f aca="false">_xlfn.IFS(G97="","", G97=D97,1, G97&lt;&gt;D97,0)</f>
        <v/>
      </c>
    </row>
    <row r="98" customFormat="false" ht="13.8" hidden="false" customHeight="false" outlineLevel="0" collapsed="false">
      <c r="A98" s="3" t="n">
        <v>97</v>
      </c>
      <c r="B98" s="3" t="s">
        <v>421</v>
      </c>
      <c r="C98" s="3" t="s">
        <v>105</v>
      </c>
      <c r="D98" s="3" t="s">
        <v>61</v>
      </c>
      <c r="E98" s="25" t="s">
        <v>877</v>
      </c>
      <c r="F98" s="3" t="s">
        <v>879</v>
      </c>
      <c r="G98" s="3"/>
      <c r="K98" s="13" t="n">
        <f aca="false">_xlfn.IFS(F98="","", F98=C98,1, F98&lt;&gt;C98,0)</f>
        <v>0</v>
      </c>
      <c r="L98" s="13" t="str">
        <f aca="false">_xlfn.IFS(G98="","", G98=D98,1, G98&lt;&gt;D98,0)</f>
        <v/>
      </c>
    </row>
    <row r="99" customFormat="false" ht="13.8" hidden="false" customHeight="false" outlineLevel="0" collapsed="false">
      <c r="A99" s="3" t="n">
        <v>98</v>
      </c>
      <c r="B99" s="3" t="s">
        <v>450</v>
      </c>
      <c r="C99" s="3" t="s">
        <v>105</v>
      </c>
      <c r="D99" s="3" t="s">
        <v>77</v>
      </c>
      <c r="E99" s="25" t="s">
        <v>874</v>
      </c>
      <c r="F99" s="3" t="s">
        <v>105</v>
      </c>
      <c r="G99" s="3" t="s">
        <v>61</v>
      </c>
      <c r="K99" s="13" t="n">
        <f aca="false">_xlfn.IFS(F99="","", F99=C99,1, F99&lt;&gt;C99,0)</f>
        <v>1</v>
      </c>
      <c r="L99" s="13" t="n">
        <f aca="false">_xlfn.IFS(G99="","", G99=D99,1, G99&lt;&gt;D99,0)</f>
        <v>0</v>
      </c>
    </row>
    <row r="100" customFormat="false" ht="13.8" hidden="false" customHeight="false" outlineLevel="0" collapsed="false">
      <c r="A100" s="3" t="n">
        <v>99</v>
      </c>
      <c r="B100" s="3" t="s">
        <v>275</v>
      </c>
      <c r="C100" s="3" t="s">
        <v>105</v>
      </c>
      <c r="D100" s="3" t="s">
        <v>61</v>
      </c>
      <c r="E100" s="25" t="s">
        <v>874</v>
      </c>
      <c r="F100" s="3" t="s">
        <v>105</v>
      </c>
      <c r="G100" s="3"/>
      <c r="K100" s="13" t="n">
        <f aca="false">_xlfn.IFS(F100="","", F100=C100,1, F100&lt;&gt;C100,0)</f>
        <v>1</v>
      </c>
      <c r="L100" s="13" t="str">
        <f aca="false">_xlfn.IFS(G100="","", G100=D100,1, G100&lt;&gt;D100,0)</f>
        <v/>
      </c>
    </row>
    <row r="101" customFormat="false" ht="13.8" hidden="false" customHeight="false" outlineLevel="0" collapsed="false">
      <c r="A101" s="3" t="n">
        <v>100</v>
      </c>
      <c r="B101" s="3" t="s">
        <v>219</v>
      </c>
      <c r="C101" s="3" t="s">
        <v>143</v>
      </c>
      <c r="D101" s="3" t="s">
        <v>198</v>
      </c>
      <c r="E101" s="25" t="s">
        <v>874</v>
      </c>
      <c r="F101" s="3" t="s">
        <v>105</v>
      </c>
      <c r="G101" s="3" t="s">
        <v>61</v>
      </c>
      <c r="K101" s="13" t="n">
        <f aca="false">_xlfn.IFS(F101="","", F101=C101,1, F101&lt;&gt;C101,0)</f>
        <v>0</v>
      </c>
      <c r="L101" s="13" t="n">
        <f aca="false">_xlfn.IFS(G101="","", G101=D101,1, G101&lt;&gt;D101,0)</f>
        <v>0</v>
      </c>
    </row>
    <row r="102" customFormat="false" ht="13.8" hidden="false" customHeight="false" outlineLevel="0" collapsed="false">
      <c r="A102" s="3" t="n">
        <v>101</v>
      </c>
      <c r="B102" s="3" t="s">
        <v>456</v>
      </c>
      <c r="C102" s="3" t="s">
        <v>105</v>
      </c>
      <c r="D102" s="3" t="s">
        <v>61</v>
      </c>
      <c r="E102" s="25" t="s">
        <v>878</v>
      </c>
      <c r="F102" s="3"/>
      <c r="G102" s="3"/>
      <c r="K102" s="13" t="str">
        <f aca="false">_xlfn.IFS(F102="","", F102=C102,1, F102&lt;&gt;C102,0)</f>
        <v/>
      </c>
      <c r="L102" s="13" t="str">
        <f aca="false">_xlfn.IFS(G102="","", G102=D102,1, G102&lt;&gt;D102,0)</f>
        <v/>
      </c>
    </row>
    <row r="103" customFormat="false" ht="13.8" hidden="false" customHeight="false" outlineLevel="0" collapsed="false">
      <c r="A103" s="3" t="n">
        <v>102</v>
      </c>
      <c r="B103" s="3" t="s">
        <v>457</v>
      </c>
      <c r="C103" s="3" t="s">
        <v>143</v>
      </c>
      <c r="D103" s="3" t="s">
        <v>198</v>
      </c>
      <c r="E103" s="25" t="s">
        <v>874</v>
      </c>
      <c r="F103" s="3" t="s">
        <v>105</v>
      </c>
      <c r="G103" s="3" t="s">
        <v>61</v>
      </c>
      <c r="K103" s="13" t="n">
        <f aca="false">_xlfn.IFS(F103="","", F103=C103,1, F103&lt;&gt;C103,0)</f>
        <v>0</v>
      </c>
      <c r="L103" s="13" t="n">
        <f aca="false">_xlfn.IFS(G103="","", G103=D103,1, G103&lt;&gt;D103,0)</f>
        <v>0</v>
      </c>
    </row>
    <row r="104" customFormat="false" ht="13.8" hidden="false" customHeight="false" outlineLevel="0" collapsed="false">
      <c r="A104" s="3" t="n">
        <v>103</v>
      </c>
      <c r="B104" s="3" t="s">
        <v>220</v>
      </c>
      <c r="C104" s="3" t="s">
        <v>105</v>
      </c>
      <c r="D104" s="3" t="s">
        <v>61</v>
      </c>
      <c r="E104" s="25" t="s">
        <v>877</v>
      </c>
      <c r="F104" s="3" t="s">
        <v>879</v>
      </c>
      <c r="G104" s="3"/>
      <c r="K104" s="13" t="n">
        <f aca="false">_xlfn.IFS(F104="","", F104=C104,1, F104&lt;&gt;C104,0)</f>
        <v>0</v>
      </c>
      <c r="L104" s="13" t="str">
        <f aca="false">_xlfn.IFS(G104="","", G104=D104,1, G104&lt;&gt;D104,0)</f>
        <v/>
      </c>
    </row>
    <row r="105" customFormat="false" ht="13.8" hidden="false" customHeight="false" outlineLevel="0" collapsed="false">
      <c r="A105" s="3" t="n">
        <v>104</v>
      </c>
      <c r="B105" s="3" t="s">
        <v>276</v>
      </c>
      <c r="C105" s="3" t="s">
        <v>105</v>
      </c>
      <c r="D105" s="3" t="s">
        <v>61</v>
      </c>
      <c r="E105" s="25" t="s">
        <v>877</v>
      </c>
      <c r="F105" s="3" t="s">
        <v>879</v>
      </c>
      <c r="G105" s="3"/>
      <c r="K105" s="13" t="n">
        <f aca="false">_xlfn.IFS(F105="","", F105=C105,1, F105&lt;&gt;C105,0)</f>
        <v>0</v>
      </c>
      <c r="L105" s="13" t="str">
        <f aca="false">_xlfn.IFS(G105="","", G105=D105,1, G105&lt;&gt;D105,0)</f>
        <v/>
      </c>
    </row>
    <row r="106" customFormat="false" ht="13.8" hidden="false" customHeight="false" outlineLevel="0" collapsed="false">
      <c r="A106" s="3" t="n">
        <v>105</v>
      </c>
      <c r="B106" s="3" t="s">
        <v>677</v>
      </c>
      <c r="C106" s="3" t="s">
        <v>143</v>
      </c>
      <c r="D106" s="3" t="s">
        <v>351</v>
      </c>
      <c r="E106" s="25" t="s">
        <v>877</v>
      </c>
      <c r="F106" s="3" t="s">
        <v>879</v>
      </c>
      <c r="G106" s="3"/>
      <c r="K106" s="13" t="n">
        <f aca="false">_xlfn.IFS(F106="","", F106=C106,1, F106&lt;&gt;C106,0)</f>
        <v>0</v>
      </c>
      <c r="L106" s="13" t="str">
        <f aca="false">_xlfn.IFS(G106="","", G106=D106,1, G106&lt;&gt;D106,0)</f>
        <v/>
      </c>
    </row>
    <row r="107" customFormat="false" ht="13.8" hidden="false" customHeight="false" outlineLevel="0" collapsed="false">
      <c r="A107" s="3" t="n">
        <v>106</v>
      </c>
      <c r="B107" s="3" t="s">
        <v>221</v>
      </c>
      <c r="C107" s="3" t="s">
        <v>105</v>
      </c>
      <c r="D107" s="3" t="s">
        <v>61</v>
      </c>
      <c r="E107" s="25" t="s">
        <v>874</v>
      </c>
      <c r="F107" s="3" t="s">
        <v>105</v>
      </c>
      <c r="G107" s="3"/>
      <c r="K107" s="13" t="n">
        <f aca="false">_xlfn.IFS(F107="","", F107=C107,1, F107&lt;&gt;C107,0)</f>
        <v>1</v>
      </c>
      <c r="L107" s="13" t="str">
        <f aca="false">_xlfn.IFS(G107="","", G107=D107,1, G107&lt;&gt;D107,0)</f>
        <v/>
      </c>
    </row>
    <row r="108" customFormat="false" ht="13.8" hidden="false" customHeight="false" outlineLevel="0" collapsed="false">
      <c r="A108" s="3" t="n">
        <v>107</v>
      </c>
      <c r="B108" s="3" t="s">
        <v>661</v>
      </c>
      <c r="C108" s="3" t="s">
        <v>105</v>
      </c>
      <c r="D108" s="3" t="s">
        <v>61</v>
      </c>
      <c r="E108" s="25" t="s">
        <v>878</v>
      </c>
      <c r="F108" s="3"/>
      <c r="G108" s="3"/>
      <c r="K108" s="13" t="str">
        <f aca="false">_xlfn.IFS(F108="","", F108=C108,1, F108&lt;&gt;C108,0)</f>
        <v/>
      </c>
      <c r="L108" s="13" t="str">
        <f aca="false">_xlfn.IFS(G108="","", G108=D108,1, G108&lt;&gt;D108,0)</f>
        <v/>
      </c>
    </row>
    <row r="109" customFormat="false" ht="13.8" hidden="false" customHeight="false" outlineLevel="0" collapsed="false">
      <c r="A109" s="3" t="n">
        <v>108</v>
      </c>
      <c r="B109" s="3" t="s">
        <v>550</v>
      </c>
      <c r="C109" s="3" t="s">
        <v>133</v>
      </c>
      <c r="D109" s="3" t="s">
        <v>65</v>
      </c>
      <c r="E109" s="25" t="s">
        <v>874</v>
      </c>
      <c r="F109" s="3" t="s">
        <v>105</v>
      </c>
      <c r="G109" s="3" t="s">
        <v>61</v>
      </c>
      <c r="K109" s="13" t="n">
        <f aca="false">_xlfn.IFS(F109="","", F109=C109,1, F109&lt;&gt;C109,0)</f>
        <v>0</v>
      </c>
      <c r="L109" s="13" t="n">
        <f aca="false">_xlfn.IFS(G109="","", G109=D109,1, G109&lt;&gt;D109,0)</f>
        <v>0</v>
      </c>
    </row>
    <row r="110" customFormat="false" ht="13.8" hidden="false" customHeight="false" outlineLevel="0" collapsed="false">
      <c r="A110" s="3" t="n">
        <v>109</v>
      </c>
      <c r="B110" s="3" t="s">
        <v>222</v>
      </c>
      <c r="C110" s="3" t="s">
        <v>150</v>
      </c>
      <c r="D110" s="3" t="s">
        <v>75</v>
      </c>
      <c r="E110" s="25" t="s">
        <v>874</v>
      </c>
      <c r="F110" s="3" t="s">
        <v>105</v>
      </c>
      <c r="G110" s="3" t="s">
        <v>55</v>
      </c>
      <c r="K110" s="13" t="n">
        <f aca="false">_xlfn.IFS(F110="","", F110=C110,1, F110&lt;&gt;C110,0)</f>
        <v>0</v>
      </c>
      <c r="L110" s="13" t="n">
        <f aca="false">_xlfn.IFS(G110="","", G110=D110,1, G110&lt;&gt;D110,0)</f>
        <v>0</v>
      </c>
    </row>
    <row r="111" customFormat="false" ht="13.8" hidden="false" customHeight="false" outlineLevel="0" collapsed="false">
      <c r="A111" s="3" t="n">
        <v>110</v>
      </c>
      <c r="B111" s="3" t="s">
        <v>367</v>
      </c>
      <c r="C111" s="3" t="s">
        <v>105</v>
      </c>
      <c r="D111" s="3" t="s">
        <v>61</v>
      </c>
      <c r="E111" s="25" t="s">
        <v>877</v>
      </c>
      <c r="F111" s="3" t="s">
        <v>879</v>
      </c>
      <c r="G111" s="3"/>
      <c r="K111" s="13" t="n">
        <f aca="false">_xlfn.IFS(F111="","", F111=C111,1, F111&lt;&gt;C111,0)</f>
        <v>0</v>
      </c>
      <c r="L111" s="13" t="str">
        <f aca="false">_xlfn.IFS(G111="","", G111=D111,1, G111&lt;&gt;D111,0)</f>
        <v/>
      </c>
    </row>
    <row r="112" customFormat="false" ht="13.8" hidden="false" customHeight="false" outlineLevel="0" collapsed="false">
      <c r="A112" s="3" t="n">
        <v>111</v>
      </c>
      <c r="B112" s="3" t="s">
        <v>223</v>
      </c>
      <c r="C112" s="3" t="s">
        <v>143</v>
      </c>
      <c r="D112" s="3" t="s">
        <v>198</v>
      </c>
      <c r="E112" s="25" t="s">
        <v>877</v>
      </c>
      <c r="F112" s="3" t="s">
        <v>879</v>
      </c>
      <c r="G112" s="3"/>
      <c r="K112" s="13" t="n">
        <f aca="false">_xlfn.IFS(F112="","", F112=C112,1, F112&lt;&gt;C112,0)</f>
        <v>0</v>
      </c>
      <c r="L112" s="13" t="str">
        <f aca="false">_xlfn.IFS(G112="","", G112=D112,1, G112&lt;&gt;D112,0)</f>
        <v/>
      </c>
    </row>
    <row r="113" customFormat="false" ht="13.8" hidden="false" customHeight="false" outlineLevel="0" collapsed="false">
      <c r="A113" s="3" t="n">
        <v>112</v>
      </c>
      <c r="B113" s="3" t="s">
        <v>395</v>
      </c>
      <c r="C113" s="3" t="s">
        <v>105</v>
      </c>
      <c r="D113" s="3" t="s">
        <v>77</v>
      </c>
      <c r="E113" s="25" t="s">
        <v>877</v>
      </c>
      <c r="F113" s="3" t="s">
        <v>879</v>
      </c>
      <c r="G113" s="3"/>
      <c r="K113" s="13" t="n">
        <f aca="false">_xlfn.IFS(F113="","", F113=C113,1, F113&lt;&gt;C113,0)</f>
        <v>0</v>
      </c>
      <c r="L113" s="13" t="str">
        <f aca="false">_xlfn.IFS(G113="","", G113=D113,1, G113&lt;&gt;D113,0)</f>
        <v/>
      </c>
    </row>
    <row r="114" customFormat="false" ht="13.8" hidden="false" customHeight="false" outlineLevel="0" collapsed="false">
      <c r="A114" s="3" t="n">
        <v>113</v>
      </c>
      <c r="B114" s="3" t="s">
        <v>224</v>
      </c>
      <c r="C114" s="3" t="s">
        <v>143</v>
      </c>
      <c r="D114" s="3" t="s">
        <v>198</v>
      </c>
      <c r="E114" s="25" t="s">
        <v>874</v>
      </c>
      <c r="F114" s="3" t="s">
        <v>105</v>
      </c>
      <c r="G114" s="3" t="s">
        <v>61</v>
      </c>
      <c r="K114" s="13" t="n">
        <f aca="false">_xlfn.IFS(F114="","", F114=C114,1, F114&lt;&gt;C114,0)</f>
        <v>0</v>
      </c>
      <c r="L114" s="13" t="n">
        <f aca="false">_xlfn.IFS(G114="","", G114=D114,1, G114&lt;&gt;D114,0)</f>
        <v>0</v>
      </c>
    </row>
    <row r="115" customFormat="false" ht="13.8" hidden="false" customHeight="false" outlineLevel="0" collapsed="false">
      <c r="A115" s="3" t="n">
        <v>114</v>
      </c>
      <c r="B115" s="3" t="s">
        <v>478</v>
      </c>
      <c r="C115" s="3" t="s">
        <v>105</v>
      </c>
      <c r="D115" s="3" t="s">
        <v>61</v>
      </c>
      <c r="E115" s="25" t="s">
        <v>877</v>
      </c>
      <c r="F115" s="3" t="s">
        <v>879</v>
      </c>
      <c r="G115" s="3"/>
      <c r="K115" s="13" t="n">
        <f aca="false">_xlfn.IFS(F115="","", F115=C115,1, F115&lt;&gt;C115,0)</f>
        <v>0</v>
      </c>
      <c r="L115" s="13" t="str">
        <f aca="false">_xlfn.IFS(G115="","", G115=D115,1, G115&lt;&gt;D115,0)</f>
        <v/>
      </c>
    </row>
    <row r="116" customFormat="false" ht="13.8" hidden="false" customHeight="false" outlineLevel="0" collapsed="false">
      <c r="A116" s="3" t="n">
        <v>115</v>
      </c>
      <c r="B116" s="3" t="s">
        <v>225</v>
      </c>
      <c r="C116" s="3" t="s">
        <v>143</v>
      </c>
      <c r="D116" s="3" t="s">
        <v>198</v>
      </c>
      <c r="E116" s="25" t="s">
        <v>877</v>
      </c>
      <c r="F116" s="3" t="s">
        <v>879</v>
      </c>
      <c r="G116" s="3"/>
      <c r="K116" s="13" t="n">
        <f aca="false">_xlfn.IFS(F116="","", F116=C116,1, F116&lt;&gt;C116,0)</f>
        <v>0</v>
      </c>
      <c r="L116" s="13" t="str">
        <f aca="false">_xlfn.IFS(G116="","", G116=D116,1, G116&lt;&gt;D116,0)</f>
        <v/>
      </c>
    </row>
    <row r="117" customFormat="false" ht="13.8" hidden="false" customHeight="false" outlineLevel="0" collapsed="false">
      <c r="A117" s="3" t="n">
        <v>116</v>
      </c>
      <c r="B117" s="3" t="s">
        <v>746</v>
      </c>
      <c r="C117" s="3" t="s">
        <v>143</v>
      </c>
      <c r="D117" s="3" t="s">
        <v>288</v>
      </c>
      <c r="E117" s="25" t="s">
        <v>874</v>
      </c>
      <c r="F117" s="3" t="s">
        <v>105</v>
      </c>
      <c r="G117" s="3"/>
      <c r="K117" s="13" t="n">
        <f aca="false">_xlfn.IFS(F117="","", F117=C117,1, F117&lt;&gt;C117,0)</f>
        <v>0</v>
      </c>
      <c r="L117" s="13" t="str">
        <f aca="false">_xlfn.IFS(G117="","", G117=D117,1, G117&lt;&gt;D117,0)</f>
        <v/>
      </c>
    </row>
    <row r="118" customFormat="false" ht="13.8" hidden="false" customHeight="false" outlineLevel="0" collapsed="false">
      <c r="A118" s="3" t="n">
        <v>117</v>
      </c>
      <c r="B118" s="3" t="s">
        <v>226</v>
      </c>
      <c r="C118" s="3" t="s">
        <v>143</v>
      </c>
      <c r="D118" s="3" t="s">
        <v>198</v>
      </c>
      <c r="E118" s="25" t="s">
        <v>878</v>
      </c>
      <c r="F118" s="3"/>
      <c r="G118" s="3"/>
      <c r="K118" s="13" t="str">
        <f aca="false">_xlfn.IFS(F118="","", F118=C118,1, F118&lt;&gt;C118,0)</f>
        <v/>
      </c>
      <c r="L118" s="13" t="str">
        <f aca="false">_xlfn.IFS(G118="","", G118=D118,1, G118&lt;&gt;D118,0)</f>
        <v/>
      </c>
    </row>
    <row r="119" customFormat="false" ht="13.8" hidden="false" customHeight="false" outlineLevel="0" collapsed="false">
      <c r="A119" s="3" t="n">
        <v>118</v>
      </c>
      <c r="B119" s="3" t="s">
        <v>311</v>
      </c>
      <c r="C119" s="3" t="s">
        <v>105</v>
      </c>
      <c r="D119" s="3" t="s">
        <v>61</v>
      </c>
      <c r="E119" s="25" t="s">
        <v>874</v>
      </c>
      <c r="F119" s="3" t="s">
        <v>105</v>
      </c>
      <c r="G119" s="3" t="s">
        <v>61</v>
      </c>
      <c r="K119" s="13" t="n">
        <f aca="false">_xlfn.IFS(F119="","", F119=C119,1, F119&lt;&gt;C119,0)</f>
        <v>1</v>
      </c>
      <c r="L119" s="13" t="n">
        <f aca="false">_xlfn.IFS(G119="","", G119=D119,1, G119&lt;&gt;D119,0)</f>
        <v>1</v>
      </c>
    </row>
    <row r="120" customFormat="false" ht="13.8" hidden="false" customHeight="false" outlineLevel="0" collapsed="false">
      <c r="A120" s="3" t="n">
        <v>119</v>
      </c>
      <c r="B120" s="3" t="s">
        <v>619</v>
      </c>
      <c r="C120" s="3" t="s">
        <v>143</v>
      </c>
      <c r="D120" s="3" t="s">
        <v>198</v>
      </c>
      <c r="E120" s="25" t="s">
        <v>874</v>
      </c>
      <c r="F120" s="3" t="s">
        <v>105</v>
      </c>
      <c r="G120" s="3" t="s">
        <v>61</v>
      </c>
      <c r="K120" s="13" t="n">
        <f aca="false">_xlfn.IFS(F120="","", F120=C120,1, F120&lt;&gt;C120,0)</f>
        <v>0</v>
      </c>
      <c r="L120" s="13" t="n">
        <f aca="false">_xlfn.IFS(G120="","", G120=D120,1, G120&lt;&gt;D120,0)</f>
        <v>0</v>
      </c>
    </row>
    <row r="121" customFormat="false" ht="13.8" hidden="false" customHeight="false" outlineLevel="0" collapsed="false">
      <c r="A121" s="3" t="n">
        <v>120</v>
      </c>
      <c r="B121" s="3" t="s">
        <v>312</v>
      </c>
      <c r="C121" s="3" t="s">
        <v>105</v>
      </c>
      <c r="D121" s="3" t="s">
        <v>61</v>
      </c>
      <c r="E121" s="25" t="s">
        <v>874</v>
      </c>
      <c r="F121" s="3" t="s">
        <v>105</v>
      </c>
      <c r="G121" s="3" t="s">
        <v>61</v>
      </c>
      <c r="K121" s="13" t="n">
        <f aca="false">_xlfn.IFS(F121="","", F121=C121,1, F121&lt;&gt;C121,0)</f>
        <v>1</v>
      </c>
      <c r="L121" s="13" t="n">
        <f aca="false">_xlfn.IFS(G121="","", G121=D121,1, G121&lt;&gt;D121,0)</f>
        <v>1</v>
      </c>
    </row>
    <row r="122" customFormat="false" ht="13.8" hidden="false" customHeight="false" outlineLevel="0" collapsed="false">
      <c r="A122" s="3" t="n">
        <v>121</v>
      </c>
      <c r="B122" s="3" t="s">
        <v>227</v>
      </c>
      <c r="C122" s="3" t="s">
        <v>105</v>
      </c>
      <c r="D122" s="3" t="s">
        <v>61</v>
      </c>
      <c r="E122" s="25" t="s">
        <v>877</v>
      </c>
      <c r="F122" s="3" t="s">
        <v>150</v>
      </c>
      <c r="G122" s="3" t="s">
        <v>63</v>
      </c>
      <c r="K122" s="13" t="n">
        <f aca="false">_xlfn.IFS(F122="","", F122=C122,1, F122&lt;&gt;C122,0)</f>
        <v>0</v>
      </c>
      <c r="L122" s="13" t="n">
        <f aca="false">_xlfn.IFS(G122="","", G122=D122,1, G122&lt;&gt;D122,0)</f>
        <v>0</v>
      </c>
    </row>
    <row r="123" customFormat="false" ht="13.8" hidden="false" customHeight="false" outlineLevel="0" collapsed="false">
      <c r="A123" s="3" t="n">
        <v>122</v>
      </c>
      <c r="B123" s="3" t="s">
        <v>228</v>
      </c>
      <c r="C123" s="3" t="s">
        <v>105</v>
      </c>
      <c r="D123" s="3" t="s">
        <v>61</v>
      </c>
      <c r="E123" s="25" t="s">
        <v>874</v>
      </c>
      <c r="F123" s="3" t="s">
        <v>105</v>
      </c>
      <c r="G123" s="3" t="s">
        <v>61</v>
      </c>
      <c r="K123" s="13" t="n">
        <f aca="false">_xlfn.IFS(F123="","", F123=C123,1, F123&lt;&gt;C123,0)</f>
        <v>1</v>
      </c>
      <c r="L123" s="13" t="n">
        <f aca="false">_xlfn.IFS(G123="","", G123=D123,1, G123&lt;&gt;D123,0)</f>
        <v>1</v>
      </c>
    </row>
    <row r="124" customFormat="false" ht="13.8" hidden="false" customHeight="false" outlineLevel="0" collapsed="false">
      <c r="A124" s="3" t="n">
        <v>123</v>
      </c>
      <c r="B124" s="3" t="s">
        <v>576</v>
      </c>
      <c r="C124" s="3" t="s">
        <v>105</v>
      </c>
      <c r="D124" s="3" t="s">
        <v>61</v>
      </c>
      <c r="E124" s="25" t="s">
        <v>878</v>
      </c>
      <c r="F124" s="3"/>
      <c r="G124" s="3"/>
      <c r="K124" s="13" t="str">
        <f aca="false">_xlfn.IFS(F124="","", F124=C124,1, F124&lt;&gt;C124,0)</f>
        <v/>
      </c>
      <c r="L124" s="13" t="str">
        <f aca="false">_xlfn.IFS(G124="","", G124=D124,1, G124&lt;&gt;D124,0)</f>
        <v/>
      </c>
    </row>
    <row r="125" customFormat="false" ht="13.8" hidden="false" customHeight="false" outlineLevel="0" collapsed="false">
      <c r="A125" s="3" t="n">
        <v>124</v>
      </c>
      <c r="B125" s="3" t="s">
        <v>527</v>
      </c>
      <c r="C125" s="3" t="s">
        <v>143</v>
      </c>
      <c r="D125" s="3" t="s">
        <v>198</v>
      </c>
      <c r="E125" s="25" t="s">
        <v>877</v>
      </c>
      <c r="F125" s="3" t="s">
        <v>879</v>
      </c>
      <c r="G125" s="3"/>
      <c r="K125" s="13" t="n">
        <f aca="false">_xlfn.IFS(F125="","", F125=C125,1, F125&lt;&gt;C125,0)</f>
        <v>0</v>
      </c>
      <c r="L125" s="13" t="str">
        <f aca="false">_xlfn.IFS(G125="","", G125=D125,1, G125&lt;&gt;D125,0)</f>
        <v/>
      </c>
    </row>
    <row r="126" customFormat="false" ht="13.8" hidden="false" customHeight="false" outlineLevel="0" collapsed="false">
      <c r="A126" s="3" t="n">
        <v>125</v>
      </c>
      <c r="B126" s="3" t="s">
        <v>277</v>
      </c>
      <c r="C126" s="3" t="s">
        <v>105</v>
      </c>
      <c r="D126" s="3" t="s">
        <v>61</v>
      </c>
      <c r="E126" s="25" t="s">
        <v>877</v>
      </c>
      <c r="F126" s="3" t="s">
        <v>879</v>
      </c>
      <c r="G126" s="3"/>
      <c r="K126" s="13" t="n">
        <f aca="false">_xlfn.IFS(F126="","", F126=C126,1, F126&lt;&gt;C126,0)</f>
        <v>0</v>
      </c>
      <c r="L126" s="13" t="str">
        <f aca="false">_xlfn.IFS(G126="","", G126=D126,1, G126&lt;&gt;D126,0)</f>
        <v/>
      </c>
    </row>
    <row r="127" customFormat="false" ht="13.8" hidden="false" customHeight="false" outlineLevel="0" collapsed="false">
      <c r="A127" s="3" t="n">
        <v>126</v>
      </c>
      <c r="B127" s="3" t="s">
        <v>743</v>
      </c>
      <c r="C127" s="3" t="s">
        <v>105</v>
      </c>
      <c r="D127" s="3" t="s">
        <v>61</v>
      </c>
      <c r="E127" s="25" t="s">
        <v>874</v>
      </c>
      <c r="F127" s="3" t="s">
        <v>105</v>
      </c>
      <c r="G127" s="3" t="s">
        <v>61</v>
      </c>
      <c r="K127" s="13" t="n">
        <f aca="false">_xlfn.IFS(F127="","", F127=C127,1, F127&lt;&gt;C127,0)</f>
        <v>1</v>
      </c>
      <c r="L127" s="13" t="n">
        <f aca="false">_xlfn.IFS(G127="","", G127=D127,1, G127&lt;&gt;D127,0)</f>
        <v>1</v>
      </c>
    </row>
    <row r="128" customFormat="false" ht="13.8" hidden="false" customHeight="false" outlineLevel="0" collapsed="false">
      <c r="A128" s="3" t="n">
        <v>127</v>
      </c>
      <c r="B128" s="3" t="s">
        <v>278</v>
      </c>
      <c r="C128" s="3" t="s">
        <v>105</v>
      </c>
      <c r="D128" s="3" t="s">
        <v>61</v>
      </c>
      <c r="E128" s="25" t="s">
        <v>877</v>
      </c>
      <c r="F128" s="3" t="s">
        <v>879</v>
      </c>
      <c r="G128" s="3"/>
      <c r="K128" s="13" t="n">
        <f aca="false">_xlfn.IFS(F128="","", F128=C128,1, F128&lt;&gt;C128,0)</f>
        <v>0</v>
      </c>
      <c r="L128" s="13" t="str">
        <f aca="false">_xlfn.IFS(G128="","", G128=D128,1, G128&lt;&gt;D128,0)</f>
        <v/>
      </c>
    </row>
    <row r="129" customFormat="false" ht="13.8" hidden="false" customHeight="false" outlineLevel="0" collapsed="false">
      <c r="A129" s="3" t="n">
        <v>128</v>
      </c>
      <c r="B129" s="3" t="s">
        <v>672</v>
      </c>
      <c r="C129" s="3" t="s">
        <v>143</v>
      </c>
      <c r="D129" s="3" t="s">
        <v>351</v>
      </c>
      <c r="E129" s="25" t="s">
        <v>877</v>
      </c>
      <c r="F129" s="3" t="s">
        <v>879</v>
      </c>
      <c r="G129" s="3"/>
      <c r="K129" s="13" t="n">
        <f aca="false">_xlfn.IFS(F129="","", F129=C129,1, F129&lt;&gt;C129,0)</f>
        <v>0</v>
      </c>
      <c r="L129" s="13" t="str">
        <f aca="false">_xlfn.IFS(G129="","", G129=D129,1, G129&lt;&gt;D129,0)</f>
        <v/>
      </c>
    </row>
    <row r="130" customFormat="false" ht="13.8" hidden="false" customHeight="false" outlineLevel="0" collapsed="false">
      <c r="A130" s="3" t="n">
        <v>129</v>
      </c>
      <c r="B130" s="3" t="s">
        <v>229</v>
      </c>
      <c r="C130" s="3" t="s">
        <v>105</v>
      </c>
      <c r="D130" s="3" t="s">
        <v>61</v>
      </c>
      <c r="E130" s="25" t="s">
        <v>877</v>
      </c>
      <c r="F130" s="3" t="s">
        <v>879</v>
      </c>
      <c r="G130" s="3"/>
      <c r="K130" s="13" t="n">
        <f aca="false">_xlfn.IFS(F130="","", F130=C130,1, F130&lt;&gt;C130,0)</f>
        <v>0</v>
      </c>
      <c r="L130" s="13" t="str">
        <f aca="false">_xlfn.IFS(G130="","", G130=D130,1, G130&lt;&gt;D130,0)</f>
        <v/>
      </c>
    </row>
    <row r="131" customFormat="false" ht="13.8" hidden="false" customHeight="false" outlineLevel="0" collapsed="false">
      <c r="A131" s="3" t="n">
        <v>130</v>
      </c>
      <c r="B131" s="3" t="s">
        <v>313</v>
      </c>
      <c r="C131" s="3" t="s">
        <v>105</v>
      </c>
      <c r="D131" s="3" t="s">
        <v>61</v>
      </c>
      <c r="E131" s="25" t="s">
        <v>877</v>
      </c>
      <c r="F131" s="3" t="s">
        <v>879</v>
      </c>
      <c r="G131" s="3"/>
      <c r="K131" s="13" t="n">
        <f aca="false">_xlfn.IFS(F131="","", F131=C131,1, F131&lt;&gt;C131,0)</f>
        <v>0</v>
      </c>
      <c r="L131" s="13" t="str">
        <f aca="false">_xlfn.IFS(G131="","", G131=D131,1, G131&lt;&gt;D131,0)</f>
        <v/>
      </c>
    </row>
    <row r="132" customFormat="false" ht="13.8" hidden="false" customHeight="false" outlineLevel="0" collapsed="false">
      <c r="A132" s="3" t="n">
        <v>131</v>
      </c>
      <c r="B132" s="3" t="s">
        <v>787</v>
      </c>
      <c r="C132" s="3" t="s">
        <v>143</v>
      </c>
      <c r="D132" s="3" t="s">
        <v>589</v>
      </c>
      <c r="E132" s="25" t="s">
        <v>877</v>
      </c>
      <c r="F132" s="3" t="s">
        <v>879</v>
      </c>
      <c r="G132" s="3"/>
      <c r="K132" s="13" t="n">
        <f aca="false">_xlfn.IFS(F132="","", F132=C132,1, F132&lt;&gt;C132,0)</f>
        <v>0</v>
      </c>
      <c r="L132" s="13" t="str">
        <f aca="false">_xlfn.IFS(G132="","", G132=D132,1, G132&lt;&gt;D132,0)</f>
        <v/>
      </c>
    </row>
    <row r="133" customFormat="false" ht="13.8" hidden="false" customHeight="false" outlineLevel="0" collapsed="false">
      <c r="A133" s="3" t="n">
        <v>132</v>
      </c>
      <c r="B133" s="3" t="s">
        <v>740</v>
      </c>
      <c r="C133" s="3" t="s">
        <v>105</v>
      </c>
      <c r="D133" s="3" t="s">
        <v>61</v>
      </c>
      <c r="E133" s="25" t="s">
        <v>878</v>
      </c>
      <c r="F133" s="3"/>
      <c r="G133" s="3"/>
      <c r="K133" s="13" t="str">
        <f aca="false">_xlfn.IFS(F133="","", F133=C133,1, F133&lt;&gt;C133,0)</f>
        <v/>
      </c>
      <c r="L133" s="13" t="str">
        <f aca="false">_xlfn.IFS(G133="","", G133=D133,1, G133&lt;&gt;D133,0)</f>
        <v/>
      </c>
    </row>
    <row r="134" customFormat="false" ht="13.8" hidden="false" customHeight="false" outlineLevel="0" collapsed="false">
      <c r="A134" s="3" t="n">
        <v>133</v>
      </c>
      <c r="B134" s="3" t="s">
        <v>523</v>
      </c>
      <c r="C134" s="3" t="s">
        <v>105</v>
      </c>
      <c r="D134" s="3" t="s">
        <v>61</v>
      </c>
      <c r="E134" s="25" t="s">
        <v>877</v>
      </c>
      <c r="F134" s="3" t="s">
        <v>879</v>
      </c>
      <c r="G134" s="3"/>
      <c r="K134" s="13" t="n">
        <f aca="false">_xlfn.IFS(F134="","", F134=C134,1, F134&lt;&gt;C134,0)</f>
        <v>0</v>
      </c>
      <c r="L134" s="13" t="str">
        <f aca="false">_xlfn.IFS(G134="","", G134=D134,1, G134&lt;&gt;D134,0)</f>
        <v/>
      </c>
    </row>
    <row r="135" customFormat="false" ht="13.8" hidden="false" customHeight="false" outlineLevel="0" collapsed="false">
      <c r="A135" s="3" t="n">
        <v>134</v>
      </c>
      <c r="B135" s="3" t="s">
        <v>230</v>
      </c>
      <c r="C135" s="3" t="s">
        <v>105</v>
      </c>
      <c r="D135" s="3" t="s">
        <v>61</v>
      </c>
      <c r="E135" s="25" t="s">
        <v>874</v>
      </c>
      <c r="F135" s="3" t="s">
        <v>105</v>
      </c>
      <c r="G135" s="3" t="s">
        <v>61</v>
      </c>
      <c r="K135" s="13" t="n">
        <f aca="false">_xlfn.IFS(F135="","", F135=C135,1, F135&lt;&gt;C135,0)</f>
        <v>1</v>
      </c>
      <c r="L135" s="13" t="n">
        <f aca="false">_xlfn.IFS(G135="","", G135=D135,1, G135&lt;&gt;D135,0)</f>
        <v>1</v>
      </c>
    </row>
    <row r="136" customFormat="false" ht="13.8" hidden="false" customHeight="false" outlineLevel="0" collapsed="false">
      <c r="A136" s="3" t="n">
        <v>135</v>
      </c>
      <c r="B136" s="3" t="s">
        <v>231</v>
      </c>
      <c r="C136" s="3" t="s">
        <v>105</v>
      </c>
      <c r="D136" s="3" t="s">
        <v>61</v>
      </c>
      <c r="E136" s="25" t="s">
        <v>877</v>
      </c>
      <c r="F136" s="3" t="s">
        <v>879</v>
      </c>
      <c r="G136" s="3"/>
      <c r="K136" s="13" t="n">
        <f aca="false">_xlfn.IFS(F136="","", F136=C136,1, F136&lt;&gt;C136,0)</f>
        <v>0</v>
      </c>
      <c r="L136" s="13" t="str">
        <f aca="false">_xlfn.IFS(G136="","", G136=D136,1, G136&lt;&gt;D136,0)</f>
        <v/>
      </c>
    </row>
    <row r="137" customFormat="false" ht="13.8" hidden="false" customHeight="false" outlineLevel="0" collapsed="false">
      <c r="A137" s="3" t="n">
        <v>136</v>
      </c>
      <c r="B137" s="3" t="s">
        <v>669</v>
      </c>
      <c r="C137" s="3" t="s">
        <v>105</v>
      </c>
      <c r="D137" s="3" t="s">
        <v>61</v>
      </c>
      <c r="E137" s="25" t="s">
        <v>877</v>
      </c>
      <c r="F137" s="3" t="s">
        <v>879</v>
      </c>
      <c r="G137" s="3"/>
      <c r="K137" s="13" t="n">
        <f aca="false">_xlfn.IFS(F137="","", F137=C137,1, F137&lt;&gt;C137,0)</f>
        <v>0</v>
      </c>
      <c r="L137" s="13" t="str">
        <f aca="false">_xlfn.IFS(G137="","", G137=D137,1, G137&lt;&gt;D137,0)</f>
        <v/>
      </c>
    </row>
    <row r="138" customFormat="false" ht="13.8" hidden="false" customHeight="false" outlineLevel="0" collapsed="false">
      <c r="A138" s="3" t="n">
        <v>137</v>
      </c>
      <c r="B138" s="3" t="s">
        <v>788</v>
      </c>
      <c r="C138" s="3" t="s">
        <v>105</v>
      </c>
      <c r="D138" s="3" t="s">
        <v>61</v>
      </c>
      <c r="E138" s="25" t="s">
        <v>877</v>
      </c>
      <c r="F138" s="3" t="s">
        <v>879</v>
      </c>
      <c r="G138" s="3"/>
      <c r="K138" s="13" t="n">
        <f aca="false">_xlfn.IFS(F138="","", F138=C138,1, F138&lt;&gt;C138,0)</f>
        <v>0</v>
      </c>
      <c r="L138" s="13" t="str">
        <f aca="false">_xlfn.IFS(G138="","", G138=D138,1, G138&lt;&gt;D138,0)</f>
        <v/>
      </c>
    </row>
    <row r="139" customFormat="false" ht="13.8" hidden="false" customHeight="false" outlineLevel="0" collapsed="false">
      <c r="A139" s="3" t="n">
        <v>138</v>
      </c>
      <c r="B139" s="3" t="s">
        <v>314</v>
      </c>
      <c r="C139" s="3" t="s">
        <v>143</v>
      </c>
      <c r="D139" s="3" t="s">
        <v>198</v>
      </c>
      <c r="E139" s="25" t="s">
        <v>874</v>
      </c>
      <c r="F139" s="3" t="s">
        <v>105</v>
      </c>
      <c r="G139" s="3" t="s">
        <v>61</v>
      </c>
      <c r="K139" s="13" t="n">
        <f aca="false">_xlfn.IFS(F139="","", F139=C139,1, F139&lt;&gt;C139,0)</f>
        <v>0</v>
      </c>
      <c r="L139" s="13" t="n">
        <f aca="false">_xlfn.IFS(G139="","", G139=D139,1, G139&lt;&gt;D139,0)</f>
        <v>0</v>
      </c>
    </row>
    <row r="140" customFormat="false" ht="13.8" hidden="false" customHeight="false" outlineLevel="0" collapsed="false">
      <c r="A140" s="3" t="n">
        <v>139</v>
      </c>
      <c r="B140" s="3" t="s">
        <v>637</v>
      </c>
      <c r="C140" s="3" t="s">
        <v>105</v>
      </c>
      <c r="D140" s="3" t="s">
        <v>61</v>
      </c>
      <c r="E140" s="25" t="s">
        <v>878</v>
      </c>
      <c r="F140" s="3"/>
      <c r="G140" s="3"/>
      <c r="K140" s="13" t="str">
        <f aca="false">_xlfn.IFS(F140="","", F140=C140,1, F140&lt;&gt;C140,0)</f>
        <v/>
      </c>
      <c r="L140" s="13" t="str">
        <f aca="false">_xlfn.IFS(G140="","", G140=D140,1, G140&lt;&gt;D140,0)</f>
        <v/>
      </c>
    </row>
    <row r="141" customFormat="false" ht="13.8" hidden="false" customHeight="false" outlineLevel="0" collapsed="false">
      <c r="A141" s="3" t="n">
        <v>140</v>
      </c>
      <c r="B141" s="3" t="s">
        <v>708</v>
      </c>
      <c r="C141" s="3" t="s">
        <v>143</v>
      </c>
      <c r="D141" s="3" t="s">
        <v>198</v>
      </c>
      <c r="E141" s="25" t="s">
        <v>874</v>
      </c>
      <c r="F141" s="3" t="s">
        <v>105</v>
      </c>
      <c r="G141" s="3" t="s">
        <v>61</v>
      </c>
      <c r="K141" s="13" t="n">
        <f aca="false">_xlfn.IFS(F141="","", F141=C141,1, F141&lt;&gt;C141,0)</f>
        <v>0</v>
      </c>
      <c r="L141" s="13" t="n">
        <f aca="false">_xlfn.IFS(G141="","", G141=D141,1, G141&lt;&gt;D141,0)</f>
        <v>0</v>
      </c>
    </row>
    <row r="142" customFormat="false" ht="13.8" hidden="false" customHeight="false" outlineLevel="0" collapsed="false">
      <c r="A142" s="3" t="n">
        <v>141</v>
      </c>
      <c r="B142" s="3" t="s">
        <v>122</v>
      </c>
      <c r="C142" s="3" t="s">
        <v>105</v>
      </c>
      <c r="D142" s="3" t="s">
        <v>61</v>
      </c>
      <c r="E142" s="25" t="s">
        <v>874</v>
      </c>
      <c r="F142" s="3" t="s">
        <v>105</v>
      </c>
      <c r="G142" s="3" t="s">
        <v>61</v>
      </c>
      <c r="K142" s="13" t="n">
        <f aca="false">_xlfn.IFS(F142="","", F142=C142,1, F142&lt;&gt;C142,0)</f>
        <v>1</v>
      </c>
      <c r="L142" s="13" t="n">
        <f aca="false">_xlfn.IFS(G142="","", G142=D142,1, G142&lt;&gt;D142,0)</f>
        <v>1</v>
      </c>
    </row>
    <row r="143" customFormat="false" ht="13.8" hidden="false" customHeight="false" outlineLevel="0" collapsed="false">
      <c r="A143" s="3" t="n">
        <v>142</v>
      </c>
      <c r="B143" s="3" t="s">
        <v>232</v>
      </c>
      <c r="C143" s="3" t="s">
        <v>143</v>
      </c>
      <c r="D143" s="3" t="s">
        <v>198</v>
      </c>
      <c r="E143" s="25" t="s">
        <v>877</v>
      </c>
      <c r="F143" s="3" t="s">
        <v>879</v>
      </c>
      <c r="G143" s="3"/>
      <c r="K143" s="13" t="n">
        <f aca="false">_xlfn.IFS(F143="","", F143=C143,1, F143&lt;&gt;C143,0)</f>
        <v>0</v>
      </c>
      <c r="L143" s="13" t="str">
        <f aca="false">_xlfn.IFS(G143="","", G143=D143,1, G143&lt;&gt;D143,0)</f>
        <v/>
      </c>
    </row>
    <row r="144" customFormat="false" ht="13.8" hidden="false" customHeight="false" outlineLevel="0" collapsed="false">
      <c r="A144" s="3" t="n">
        <v>143</v>
      </c>
      <c r="B144" s="3" t="s">
        <v>729</v>
      </c>
      <c r="C144" s="3" t="s">
        <v>105</v>
      </c>
      <c r="D144" s="3" t="s">
        <v>61</v>
      </c>
      <c r="E144" s="25" t="s">
        <v>877</v>
      </c>
      <c r="F144" s="3" t="s">
        <v>879</v>
      </c>
      <c r="G144" s="3"/>
      <c r="K144" s="13" t="n">
        <f aca="false">_xlfn.IFS(F144="","", F144=C144,1, F144&lt;&gt;C144,0)</f>
        <v>0</v>
      </c>
      <c r="L144" s="13" t="str">
        <f aca="false">_xlfn.IFS(G144="","", G144=D144,1, G144&lt;&gt;D144,0)</f>
        <v/>
      </c>
    </row>
    <row r="145" customFormat="false" ht="13.8" hidden="false" customHeight="false" outlineLevel="0" collapsed="false">
      <c r="A145" s="3" t="n">
        <v>144</v>
      </c>
      <c r="B145" s="3" t="s">
        <v>857</v>
      </c>
      <c r="C145" s="3" t="s">
        <v>150</v>
      </c>
      <c r="D145" s="3" t="s">
        <v>83</v>
      </c>
      <c r="E145" s="25" t="s">
        <v>877</v>
      </c>
      <c r="F145" s="3" t="s">
        <v>879</v>
      </c>
      <c r="G145" s="3"/>
      <c r="K145" s="13" t="n">
        <f aca="false">_xlfn.IFS(F145="","", F145=C145,1, F145&lt;&gt;C145,0)</f>
        <v>0</v>
      </c>
      <c r="L145" s="13" t="str">
        <f aca="false">_xlfn.IFS(G145="","", G145=D145,1, G145&lt;&gt;D145,0)</f>
        <v/>
      </c>
    </row>
    <row r="146" customFormat="false" ht="13.8" hidden="false" customHeight="false" outlineLevel="0" collapsed="false">
      <c r="A146" s="3" t="n">
        <v>145</v>
      </c>
      <c r="B146" s="3" t="s">
        <v>640</v>
      </c>
      <c r="C146" s="3" t="s">
        <v>143</v>
      </c>
      <c r="D146" s="3" t="s">
        <v>198</v>
      </c>
      <c r="E146" s="25" t="s">
        <v>874</v>
      </c>
      <c r="F146" s="3" t="s">
        <v>105</v>
      </c>
      <c r="G146" s="3"/>
      <c r="K146" s="13" t="n">
        <f aca="false">_xlfn.IFS(F146="","", F146=C146,1, F146&lt;&gt;C146,0)</f>
        <v>0</v>
      </c>
      <c r="L146" s="13" t="str">
        <f aca="false">_xlfn.IFS(G146="","", G146=D146,1, G146&lt;&gt;D146,0)</f>
        <v/>
      </c>
    </row>
    <row r="147" customFormat="false" ht="13.8" hidden="false" customHeight="false" outlineLevel="0" collapsed="false">
      <c r="A147" s="3" t="n">
        <v>146</v>
      </c>
      <c r="B147" s="3" t="s">
        <v>472</v>
      </c>
      <c r="C147" s="3" t="s">
        <v>143</v>
      </c>
      <c r="D147" s="3" t="s">
        <v>198</v>
      </c>
      <c r="E147" s="25" t="s">
        <v>877</v>
      </c>
      <c r="F147" s="3" t="s">
        <v>879</v>
      </c>
      <c r="G147" s="3"/>
      <c r="K147" s="13" t="n">
        <f aca="false">_xlfn.IFS(F147="","", F147=C147,1, F147&lt;&gt;C147,0)</f>
        <v>0</v>
      </c>
      <c r="L147" s="13" t="str">
        <f aca="false">_xlfn.IFS(G147="","", G147=D147,1, G147&lt;&gt;D147,0)</f>
        <v/>
      </c>
    </row>
    <row r="148" customFormat="false" ht="13.8" hidden="false" customHeight="false" outlineLevel="0" collapsed="false">
      <c r="A148" s="3" t="n">
        <v>147</v>
      </c>
      <c r="B148" s="3" t="s">
        <v>315</v>
      </c>
      <c r="C148" s="3" t="s">
        <v>143</v>
      </c>
      <c r="D148" s="3" t="s">
        <v>198</v>
      </c>
      <c r="E148" s="25" t="s">
        <v>877</v>
      </c>
      <c r="F148" s="3" t="s">
        <v>150</v>
      </c>
      <c r="G148" s="3" t="s">
        <v>63</v>
      </c>
      <c r="K148" s="13" t="n">
        <f aca="false">_xlfn.IFS(F148="","", F148=C148,1, F148&lt;&gt;C148,0)</f>
        <v>0</v>
      </c>
      <c r="L148" s="13" t="n">
        <f aca="false">_xlfn.IFS(G148="","", G148=D148,1, G148&lt;&gt;D148,0)</f>
        <v>0</v>
      </c>
    </row>
    <row r="149" customFormat="false" ht="13.8" hidden="false" customHeight="false" outlineLevel="0" collapsed="false">
      <c r="A149" s="3" t="n">
        <v>148</v>
      </c>
      <c r="B149" s="3" t="s">
        <v>233</v>
      </c>
      <c r="C149" s="3" t="s">
        <v>143</v>
      </c>
      <c r="D149" s="3" t="s">
        <v>198</v>
      </c>
      <c r="E149" s="25" t="s">
        <v>874</v>
      </c>
      <c r="F149" s="3" t="s">
        <v>105</v>
      </c>
      <c r="G149" s="3" t="s">
        <v>61</v>
      </c>
      <c r="K149" s="13" t="n">
        <f aca="false">_xlfn.IFS(F149="","", F149=C149,1, F149&lt;&gt;C149,0)</f>
        <v>0</v>
      </c>
      <c r="L149" s="13" t="n">
        <f aca="false">_xlfn.IFS(G149="","", G149=D149,1, G149&lt;&gt;D149,0)</f>
        <v>0</v>
      </c>
    </row>
    <row r="150" customFormat="false" ht="13.8" hidden="false" customHeight="false" outlineLevel="0" collapsed="false">
      <c r="A150" s="3" t="n">
        <v>149</v>
      </c>
      <c r="B150" s="3" t="s">
        <v>464</v>
      </c>
      <c r="C150" s="3" t="s">
        <v>105</v>
      </c>
      <c r="D150" s="3" t="s">
        <v>61</v>
      </c>
      <c r="E150" s="25" t="s">
        <v>878</v>
      </c>
      <c r="F150" s="3"/>
      <c r="G150" s="3"/>
      <c r="K150" s="13" t="str">
        <f aca="false">_xlfn.IFS(F150="","", F150=C150,1, F150&lt;&gt;C150,0)</f>
        <v/>
      </c>
      <c r="L150" s="13" t="str">
        <f aca="false">_xlfn.IFS(G150="","", G150=D150,1, G150&lt;&gt;D150,0)</f>
        <v/>
      </c>
    </row>
    <row r="151" customFormat="false" ht="13.8" hidden="false" customHeight="false" outlineLevel="0" collapsed="false">
      <c r="A151" s="3" t="n">
        <v>150</v>
      </c>
      <c r="B151" s="3" t="s">
        <v>419</v>
      </c>
      <c r="C151" s="3" t="s">
        <v>105</v>
      </c>
      <c r="D151" s="3" t="s">
        <v>61</v>
      </c>
      <c r="E151" s="25" t="s">
        <v>874</v>
      </c>
      <c r="F151" s="3" t="s">
        <v>105</v>
      </c>
      <c r="G151" s="3" t="s">
        <v>61</v>
      </c>
      <c r="K151" s="13" t="n">
        <f aca="false">_xlfn.IFS(F151="","", F151=C151,1, F151&lt;&gt;C151,0)</f>
        <v>1</v>
      </c>
      <c r="L151" s="13" t="n">
        <f aca="false">_xlfn.IFS(G151="","", G151=D151,1, G151&lt;&gt;D151,0)</f>
        <v>1</v>
      </c>
    </row>
    <row r="152" customFormat="false" ht="13.8" hidden="false" customHeight="false" outlineLevel="0" collapsed="false">
      <c r="A152" s="3" t="n">
        <v>151</v>
      </c>
      <c r="B152" s="3" t="s">
        <v>234</v>
      </c>
      <c r="C152" s="3" t="s">
        <v>143</v>
      </c>
      <c r="D152" s="3" t="s">
        <v>198</v>
      </c>
      <c r="E152" s="25" t="s">
        <v>874</v>
      </c>
      <c r="F152" s="3" t="s">
        <v>105</v>
      </c>
      <c r="G152" s="3" t="s">
        <v>55</v>
      </c>
      <c r="K152" s="13" t="n">
        <f aca="false">_xlfn.IFS(F152="","", F152=C152,1, F152&lt;&gt;C152,0)</f>
        <v>0</v>
      </c>
      <c r="L152" s="13" t="n">
        <f aca="false">_xlfn.IFS(G152="","", G152=D152,1, G152&lt;&gt;D152,0)</f>
        <v>0</v>
      </c>
    </row>
    <row r="153" customFormat="false" ht="13.8" hidden="false" customHeight="false" outlineLevel="0" collapsed="false">
      <c r="A153" s="3" t="n">
        <v>152</v>
      </c>
      <c r="B153" s="3" t="s">
        <v>235</v>
      </c>
      <c r="C153" s="3" t="s">
        <v>105</v>
      </c>
      <c r="D153" s="3" t="s">
        <v>61</v>
      </c>
      <c r="E153" s="25" t="s">
        <v>878</v>
      </c>
      <c r="F153" s="3"/>
      <c r="G153" s="3"/>
      <c r="K153" s="13" t="str">
        <f aca="false">_xlfn.IFS(F153="","", F153=C153,1, F153&lt;&gt;C153,0)</f>
        <v/>
      </c>
      <c r="L153" s="13" t="str">
        <f aca="false">_xlfn.IFS(G153="","", G153=D153,1, G153&lt;&gt;D153,0)</f>
        <v/>
      </c>
    </row>
    <row r="154" customFormat="false" ht="13.8" hidden="false" customHeight="false" outlineLevel="0" collapsed="false">
      <c r="A154" s="3" t="n">
        <v>153</v>
      </c>
      <c r="B154" s="3" t="s">
        <v>279</v>
      </c>
      <c r="C154" s="3" t="s">
        <v>105</v>
      </c>
      <c r="D154" s="3" t="s">
        <v>61</v>
      </c>
      <c r="E154" s="25" t="s">
        <v>877</v>
      </c>
      <c r="F154" s="3" t="s">
        <v>879</v>
      </c>
      <c r="G154" s="3"/>
      <c r="K154" s="13" t="n">
        <f aca="false">_xlfn.IFS(F154="","", F154=C154,1, F154&lt;&gt;C154,0)</f>
        <v>0</v>
      </c>
      <c r="L154" s="13" t="str">
        <f aca="false">_xlfn.IFS(G154="","", G154=D154,1, G154&lt;&gt;D154,0)</f>
        <v/>
      </c>
    </row>
    <row r="155" customFormat="false" ht="13.8" hidden="false" customHeight="false" outlineLevel="0" collapsed="false">
      <c r="A155" s="3" t="n">
        <v>154</v>
      </c>
      <c r="B155" s="3" t="s">
        <v>326</v>
      </c>
      <c r="C155" s="3" t="s">
        <v>105</v>
      </c>
      <c r="D155" s="3" t="s">
        <v>61</v>
      </c>
      <c r="E155" s="25" t="s">
        <v>874</v>
      </c>
      <c r="F155" s="3" t="s">
        <v>105</v>
      </c>
      <c r="G155" s="3" t="s">
        <v>61</v>
      </c>
      <c r="K155" s="13" t="n">
        <f aca="false">_xlfn.IFS(F155="","", F155=C155,1, F155&lt;&gt;C155,0)</f>
        <v>1</v>
      </c>
      <c r="L155" s="13" t="n">
        <f aca="false">_xlfn.IFS(G155="","", G155=D155,1, G155&lt;&gt;D155,0)</f>
        <v>1</v>
      </c>
    </row>
    <row r="156" customFormat="false" ht="13.8" hidden="false" customHeight="false" outlineLevel="0" collapsed="false">
      <c r="A156" s="3" t="n">
        <v>155</v>
      </c>
      <c r="B156" s="3" t="s">
        <v>387</v>
      </c>
      <c r="C156" s="3" t="s">
        <v>105</v>
      </c>
      <c r="D156" s="3" t="s">
        <v>61</v>
      </c>
      <c r="E156" s="25" t="s">
        <v>878</v>
      </c>
      <c r="F156" s="3"/>
      <c r="G156" s="3"/>
      <c r="K156" s="13" t="str">
        <f aca="false">_xlfn.IFS(F156="","", F156=C156,1, F156&lt;&gt;C156,0)</f>
        <v/>
      </c>
      <c r="L156" s="13" t="str">
        <f aca="false">_xlfn.IFS(G156="","", G156=D156,1, G156&lt;&gt;D156,0)</f>
        <v/>
      </c>
    </row>
    <row r="157" customFormat="false" ht="13.8" hidden="false" customHeight="false" outlineLevel="0" collapsed="false">
      <c r="A157" s="3" t="n">
        <v>156</v>
      </c>
      <c r="B157" s="3" t="s">
        <v>702</v>
      </c>
      <c r="C157" s="3" t="s">
        <v>143</v>
      </c>
      <c r="D157" s="3" t="s">
        <v>198</v>
      </c>
      <c r="E157" s="25" t="s">
        <v>877</v>
      </c>
      <c r="F157" s="3" t="s">
        <v>879</v>
      </c>
      <c r="G157" s="3"/>
      <c r="K157" s="13" t="n">
        <f aca="false">_xlfn.IFS(F157="","", F157=C157,1, F157&lt;&gt;C157,0)</f>
        <v>0</v>
      </c>
      <c r="L157" s="13" t="str">
        <f aca="false">_xlfn.IFS(G157="","", G157=D157,1, G157&lt;&gt;D157,0)</f>
        <v/>
      </c>
    </row>
    <row r="158" customFormat="false" ht="13.8" hidden="false" customHeight="false" outlineLevel="0" collapsed="false">
      <c r="A158" s="3" t="n">
        <v>157</v>
      </c>
      <c r="B158" s="3" t="s">
        <v>484</v>
      </c>
      <c r="C158" s="3" t="s">
        <v>105</v>
      </c>
      <c r="D158" s="3" t="s">
        <v>61</v>
      </c>
      <c r="E158" s="25" t="s">
        <v>877</v>
      </c>
      <c r="F158" s="3" t="s">
        <v>879</v>
      </c>
      <c r="G158" s="3"/>
      <c r="K158" s="13" t="n">
        <f aca="false">_xlfn.IFS(F158="","", F158=C158,1, F158&lt;&gt;C158,0)</f>
        <v>0</v>
      </c>
      <c r="L158" s="13" t="str">
        <f aca="false">_xlfn.IFS(G158="","", G158=D158,1, G158&lt;&gt;D158,0)</f>
        <v/>
      </c>
    </row>
    <row r="159" customFormat="false" ht="13.8" hidden="false" customHeight="false" outlineLevel="0" collapsed="false">
      <c r="A159" s="3" t="n">
        <v>158</v>
      </c>
      <c r="B159" s="3" t="s">
        <v>426</v>
      </c>
      <c r="C159" s="3" t="s">
        <v>105</v>
      </c>
      <c r="D159" s="3" t="s">
        <v>61</v>
      </c>
      <c r="E159" s="25" t="s">
        <v>874</v>
      </c>
      <c r="F159" s="3" t="s">
        <v>105</v>
      </c>
      <c r="G159" s="3" t="s">
        <v>61</v>
      </c>
      <c r="K159" s="13" t="n">
        <f aca="false">_xlfn.IFS(F159="","", F159=C159,1, F159&lt;&gt;C159,0)</f>
        <v>1</v>
      </c>
      <c r="L159" s="13" t="n">
        <f aca="false">_xlfn.IFS(G159="","", G159=D159,1, G159&lt;&gt;D159,0)</f>
        <v>1</v>
      </c>
    </row>
    <row r="160" customFormat="false" ht="13.8" hidden="false" customHeight="false" outlineLevel="0" collapsed="false">
      <c r="A160" s="3" t="n">
        <v>159</v>
      </c>
      <c r="B160" s="3" t="s">
        <v>764</v>
      </c>
      <c r="C160" s="3" t="s">
        <v>143</v>
      </c>
      <c r="D160" s="3" t="s">
        <v>351</v>
      </c>
      <c r="E160" s="25" t="s">
        <v>878</v>
      </c>
      <c r="F160" s="3"/>
      <c r="G160" s="3"/>
      <c r="K160" s="13" t="str">
        <f aca="false">_xlfn.IFS(F160="","", F160=C160,1, F160&lt;&gt;C160,0)</f>
        <v/>
      </c>
      <c r="L160" s="13" t="str">
        <f aca="false">_xlfn.IFS(G160="","", G160=D160,1, G160&lt;&gt;D160,0)</f>
        <v/>
      </c>
    </row>
    <row r="161" customFormat="false" ht="13.8" hidden="false" customHeight="false" outlineLevel="0" collapsed="false">
      <c r="A161" s="3" t="n">
        <v>160</v>
      </c>
      <c r="B161" s="3" t="s">
        <v>368</v>
      </c>
      <c r="C161" s="3" t="s">
        <v>105</v>
      </c>
      <c r="D161" s="3" t="s">
        <v>61</v>
      </c>
      <c r="E161" s="25" t="s">
        <v>877</v>
      </c>
      <c r="F161" s="3" t="s">
        <v>879</v>
      </c>
      <c r="G161" s="3"/>
      <c r="K161" s="13" t="n">
        <f aca="false">_xlfn.IFS(F161="","", F161=C161,1, F161&lt;&gt;C161,0)</f>
        <v>0</v>
      </c>
      <c r="L161" s="13" t="str">
        <f aca="false">_xlfn.IFS(G161="","", G161=D161,1, G161&lt;&gt;D161,0)</f>
        <v/>
      </c>
    </row>
    <row r="162" customFormat="false" ht="13.8" hidden="false" customHeight="false" outlineLevel="0" collapsed="false">
      <c r="A162" s="3" t="n">
        <v>161</v>
      </c>
      <c r="B162" s="3" t="s">
        <v>678</v>
      </c>
      <c r="C162" s="3" t="s">
        <v>143</v>
      </c>
      <c r="D162" s="3" t="s">
        <v>288</v>
      </c>
      <c r="E162" s="25" t="s">
        <v>877</v>
      </c>
      <c r="F162" s="3" t="s">
        <v>879</v>
      </c>
      <c r="G162" s="3"/>
      <c r="K162" s="13" t="n">
        <f aca="false">_xlfn.IFS(F162="","", F162=C162,1, F162&lt;&gt;C162,0)</f>
        <v>0</v>
      </c>
      <c r="L162" s="13" t="str">
        <f aca="false">_xlfn.IFS(G162="","", G162=D162,1, G162&lt;&gt;D162,0)</f>
        <v/>
      </c>
    </row>
    <row r="163" customFormat="false" ht="13.8" hidden="false" customHeight="false" outlineLevel="0" collapsed="false">
      <c r="A163" s="3" t="n">
        <v>162</v>
      </c>
      <c r="B163" s="3" t="s">
        <v>439</v>
      </c>
      <c r="C163" s="3" t="s">
        <v>105</v>
      </c>
      <c r="D163" s="3" t="s">
        <v>61</v>
      </c>
      <c r="E163" s="25" t="s">
        <v>877</v>
      </c>
      <c r="F163" s="3" t="s">
        <v>879</v>
      </c>
      <c r="G163" s="3"/>
      <c r="K163" s="13" t="n">
        <f aca="false">_xlfn.IFS(F163="","", F163=C163,1, F163&lt;&gt;C163,0)</f>
        <v>0</v>
      </c>
      <c r="L163" s="13" t="str">
        <f aca="false">_xlfn.IFS(G163="","", G163=D163,1, G163&lt;&gt;D163,0)</f>
        <v/>
      </c>
    </row>
    <row r="164" customFormat="false" ht="13.8" hidden="false" customHeight="false" outlineLevel="0" collapsed="false">
      <c r="A164" s="3" t="n">
        <v>163</v>
      </c>
      <c r="B164" s="3" t="s">
        <v>802</v>
      </c>
      <c r="C164" s="3" t="s">
        <v>105</v>
      </c>
      <c r="D164" s="3" t="s">
        <v>61</v>
      </c>
      <c r="E164" s="25" t="s">
        <v>877</v>
      </c>
      <c r="F164" s="3" t="s">
        <v>879</v>
      </c>
      <c r="G164" s="3"/>
      <c r="K164" s="13" t="n">
        <f aca="false">_xlfn.IFS(F164="","", F164=C164,1, F164&lt;&gt;C164,0)</f>
        <v>0</v>
      </c>
      <c r="L164" s="13" t="str">
        <f aca="false">_xlfn.IFS(G164="","", G164=D164,1, G164&lt;&gt;D164,0)</f>
        <v/>
      </c>
    </row>
    <row r="165" customFormat="false" ht="13.8" hidden="false" customHeight="false" outlineLevel="0" collapsed="false">
      <c r="A165" s="3" t="n">
        <v>164</v>
      </c>
      <c r="B165" s="3" t="s">
        <v>567</v>
      </c>
      <c r="C165" s="3" t="s">
        <v>143</v>
      </c>
      <c r="D165" s="3" t="s">
        <v>198</v>
      </c>
      <c r="E165" s="25" t="s">
        <v>877</v>
      </c>
      <c r="F165" s="3" t="s">
        <v>150</v>
      </c>
      <c r="G165" s="3" t="s">
        <v>63</v>
      </c>
      <c r="K165" s="13" t="n">
        <f aca="false">_xlfn.IFS(F165="","", F165=C165,1, F165&lt;&gt;C165,0)</f>
        <v>0</v>
      </c>
      <c r="L165" s="13" t="n">
        <f aca="false">_xlfn.IFS(G165="","", G165=D165,1, G165&lt;&gt;D165,0)</f>
        <v>0</v>
      </c>
    </row>
    <row r="166" customFormat="false" ht="13.8" hidden="false" customHeight="false" outlineLevel="0" collapsed="false">
      <c r="A166" s="3" t="n">
        <v>165</v>
      </c>
      <c r="B166" s="3" t="s">
        <v>792</v>
      </c>
      <c r="C166" s="3" t="s">
        <v>143</v>
      </c>
      <c r="D166" s="3" t="s">
        <v>198</v>
      </c>
      <c r="E166" s="25" t="s">
        <v>877</v>
      </c>
      <c r="F166" s="3" t="s">
        <v>879</v>
      </c>
      <c r="G166" s="3"/>
      <c r="K166" s="13" t="n">
        <f aca="false">_xlfn.IFS(F166="","", F166=C166,1, F166&lt;&gt;C166,0)</f>
        <v>0</v>
      </c>
      <c r="L166" s="13" t="str">
        <f aca="false">_xlfn.IFS(G166="","", G166=D166,1, G166&lt;&gt;D166,0)</f>
        <v/>
      </c>
    </row>
    <row r="167" customFormat="false" ht="13.8" hidden="false" customHeight="false" outlineLevel="0" collapsed="false">
      <c r="A167" s="3" t="n">
        <v>166</v>
      </c>
      <c r="B167" s="3" t="s">
        <v>343</v>
      </c>
      <c r="C167" s="3" t="s">
        <v>105</v>
      </c>
      <c r="D167" s="3" t="s">
        <v>61</v>
      </c>
      <c r="E167" s="25" t="s">
        <v>874</v>
      </c>
      <c r="F167" s="3" t="s">
        <v>105</v>
      </c>
      <c r="G167" s="3" t="s">
        <v>61</v>
      </c>
      <c r="K167" s="13" t="n">
        <f aca="false">_xlfn.IFS(F167="","", F167=C167,1, F167&lt;&gt;C167,0)</f>
        <v>1</v>
      </c>
      <c r="L167" s="13" t="n">
        <f aca="false">_xlfn.IFS(G167="","", G167=D167,1, G167&lt;&gt;D167,0)</f>
        <v>1</v>
      </c>
    </row>
    <row r="168" customFormat="false" ht="13.8" hidden="false" customHeight="false" outlineLevel="0" collapsed="false">
      <c r="A168" s="3" t="n">
        <v>167</v>
      </c>
      <c r="B168" s="3" t="s">
        <v>378</v>
      </c>
      <c r="C168" s="3" t="s">
        <v>105</v>
      </c>
      <c r="D168" s="3" t="s">
        <v>61</v>
      </c>
      <c r="E168" s="25" t="s">
        <v>877</v>
      </c>
      <c r="F168" s="3" t="s">
        <v>879</v>
      </c>
      <c r="G168" s="3"/>
      <c r="K168" s="13" t="n">
        <f aca="false">_xlfn.IFS(F168="","", F168=C168,1, F168&lt;&gt;C168,0)</f>
        <v>0</v>
      </c>
      <c r="L168" s="13" t="str">
        <f aca="false">_xlfn.IFS(G168="","", G168=D168,1, G168&lt;&gt;D168,0)</f>
        <v/>
      </c>
    </row>
    <row r="169" customFormat="false" ht="13.8" hidden="false" customHeight="false" outlineLevel="0" collapsed="false">
      <c r="A169" s="3" t="n">
        <v>168</v>
      </c>
      <c r="B169" s="3" t="s">
        <v>236</v>
      </c>
      <c r="C169" s="3" t="s">
        <v>105</v>
      </c>
      <c r="D169" s="3" t="s">
        <v>61</v>
      </c>
      <c r="E169" s="25" t="s">
        <v>877</v>
      </c>
      <c r="F169" s="3" t="s">
        <v>879</v>
      </c>
      <c r="G169" s="3"/>
      <c r="K169" s="13" t="n">
        <f aca="false">_xlfn.IFS(F169="","", F169=C169,1, F169&lt;&gt;C169,0)</f>
        <v>0</v>
      </c>
      <c r="L169" s="13" t="str">
        <f aca="false">_xlfn.IFS(G169="","", G169=D169,1, G169&lt;&gt;D169,0)</f>
        <v/>
      </c>
    </row>
    <row r="170" customFormat="false" ht="13.8" hidden="false" customHeight="false" outlineLevel="0" collapsed="false">
      <c r="A170" s="3" t="n">
        <v>169</v>
      </c>
      <c r="B170" s="3" t="s">
        <v>382</v>
      </c>
      <c r="C170" s="3" t="s">
        <v>105</v>
      </c>
      <c r="D170" s="3" t="s">
        <v>61</v>
      </c>
      <c r="E170" s="25" t="s">
        <v>877</v>
      </c>
      <c r="F170" s="3" t="s">
        <v>879</v>
      </c>
      <c r="G170" s="3"/>
      <c r="K170" s="13" t="n">
        <f aca="false">_xlfn.IFS(F170="","", F170=C170,1, F170&lt;&gt;C170,0)</f>
        <v>0</v>
      </c>
      <c r="L170" s="13" t="str">
        <f aca="false">_xlfn.IFS(G170="","", G170=D170,1, G170&lt;&gt;D170,0)</f>
        <v/>
      </c>
    </row>
    <row r="171" customFormat="false" ht="13.8" hidden="false" customHeight="false" outlineLevel="0" collapsed="false">
      <c r="A171" s="3" t="n">
        <v>170</v>
      </c>
      <c r="B171" s="3" t="s">
        <v>772</v>
      </c>
      <c r="C171" s="3" t="s">
        <v>105</v>
      </c>
      <c r="D171" s="3" t="s">
        <v>61</v>
      </c>
      <c r="E171" s="25" t="s">
        <v>874</v>
      </c>
      <c r="F171" s="3" t="s">
        <v>105</v>
      </c>
      <c r="G171" s="3" t="s">
        <v>61</v>
      </c>
      <c r="K171" s="13" t="n">
        <f aca="false">_xlfn.IFS(F171="","", F171=C171,1, F171&lt;&gt;C171,0)</f>
        <v>1</v>
      </c>
      <c r="L171" s="13" t="n">
        <f aca="false">_xlfn.IFS(G171="","", G171=D171,1, G171&lt;&gt;D171,0)</f>
        <v>1</v>
      </c>
    </row>
    <row r="172" customFormat="false" ht="13.8" hidden="false" customHeight="false" outlineLevel="0" collapsed="false">
      <c r="A172" s="3" t="n">
        <v>171</v>
      </c>
      <c r="B172" s="3" t="s">
        <v>237</v>
      </c>
      <c r="C172" s="3" t="s">
        <v>105</v>
      </c>
      <c r="D172" s="3" t="s">
        <v>77</v>
      </c>
      <c r="E172" s="25" t="s">
        <v>874</v>
      </c>
      <c r="F172" s="3" t="s">
        <v>105</v>
      </c>
      <c r="G172" s="3" t="s">
        <v>61</v>
      </c>
      <c r="K172" s="13" t="n">
        <f aca="false">_xlfn.IFS(F172="","", F172=C172,1, F172&lt;&gt;C172,0)</f>
        <v>1</v>
      </c>
      <c r="L172" s="13" t="n">
        <f aca="false">_xlfn.IFS(G172="","", G172=D172,1, G172&lt;&gt;D172,0)</f>
        <v>0</v>
      </c>
    </row>
    <row r="173" customFormat="false" ht="13.8" hidden="false" customHeight="false" outlineLevel="0" collapsed="false">
      <c r="A173" s="3" t="n">
        <v>172</v>
      </c>
      <c r="B173" s="3" t="s">
        <v>789</v>
      </c>
      <c r="C173" s="3" t="s">
        <v>143</v>
      </c>
      <c r="D173" s="3" t="s">
        <v>198</v>
      </c>
      <c r="E173" s="25" t="s">
        <v>874</v>
      </c>
      <c r="F173" s="3" t="s">
        <v>105</v>
      </c>
      <c r="G173" s="3" t="s">
        <v>61</v>
      </c>
      <c r="K173" s="13" t="n">
        <f aca="false">_xlfn.IFS(F173="","", F173=C173,1, F173&lt;&gt;C173,0)</f>
        <v>0</v>
      </c>
      <c r="L173" s="13" t="n">
        <f aca="false">_xlfn.IFS(G173="","", G173=D173,1, G173&lt;&gt;D173,0)</f>
        <v>0</v>
      </c>
    </row>
    <row r="174" customFormat="false" ht="13.8" hidden="false" customHeight="false" outlineLevel="0" collapsed="false">
      <c r="A174" s="3" t="n">
        <v>173</v>
      </c>
      <c r="B174" s="3" t="s">
        <v>709</v>
      </c>
      <c r="C174" s="3" t="s">
        <v>105</v>
      </c>
      <c r="D174" s="3" t="s">
        <v>61</v>
      </c>
      <c r="E174" s="25" t="s">
        <v>874</v>
      </c>
      <c r="F174" s="3" t="s">
        <v>105</v>
      </c>
      <c r="G174" s="3" t="s">
        <v>61</v>
      </c>
      <c r="K174" s="13" t="n">
        <f aca="false">_xlfn.IFS(F174="","", F174=C174,1, F174&lt;&gt;C174,0)</f>
        <v>1</v>
      </c>
      <c r="L174" s="13" t="n">
        <f aca="false">_xlfn.IFS(G174="","", G174=D174,1, G174&lt;&gt;D174,0)</f>
        <v>1</v>
      </c>
    </row>
    <row r="175" customFormat="false" ht="13.8" hidden="false" customHeight="false" outlineLevel="0" collapsed="false">
      <c r="A175" s="3" t="n">
        <v>174</v>
      </c>
      <c r="B175" s="3" t="s">
        <v>336</v>
      </c>
      <c r="C175" s="3" t="s">
        <v>105</v>
      </c>
      <c r="D175" s="3" t="s">
        <v>61</v>
      </c>
      <c r="E175" s="25" t="s">
        <v>877</v>
      </c>
      <c r="F175" s="3" t="s">
        <v>879</v>
      </c>
      <c r="G175" s="3"/>
      <c r="K175" s="13" t="n">
        <f aca="false">_xlfn.IFS(F175="","", F175=C175,1, F175&lt;&gt;C175,0)</f>
        <v>0</v>
      </c>
      <c r="L175" s="13" t="str">
        <f aca="false">_xlfn.IFS(G175="","", G175=D175,1, G175&lt;&gt;D175,0)</f>
        <v/>
      </c>
    </row>
    <row r="176" customFormat="false" ht="13.8" hidden="false" customHeight="false" outlineLevel="0" collapsed="false">
      <c r="A176" s="3" t="n">
        <v>175</v>
      </c>
      <c r="B176" s="3" t="s">
        <v>374</v>
      </c>
      <c r="C176" s="3" t="s">
        <v>105</v>
      </c>
      <c r="D176" s="3" t="s">
        <v>61</v>
      </c>
      <c r="E176" s="25" t="s">
        <v>877</v>
      </c>
      <c r="F176" s="3" t="s">
        <v>879</v>
      </c>
      <c r="G176" s="3"/>
      <c r="K176" s="13" t="n">
        <f aca="false">_xlfn.IFS(F176="","", F176=C176,1, F176&lt;&gt;C176,0)</f>
        <v>0</v>
      </c>
      <c r="L176" s="13" t="str">
        <f aca="false">_xlfn.IFS(G176="","", G176=D176,1, G176&lt;&gt;D176,0)</f>
        <v/>
      </c>
    </row>
    <row r="177" customFormat="false" ht="13.8" hidden="false" customHeight="false" outlineLevel="0" collapsed="false">
      <c r="A177" s="3" t="n">
        <v>176</v>
      </c>
      <c r="B177" s="3" t="s">
        <v>695</v>
      </c>
      <c r="C177" s="3" t="s">
        <v>105</v>
      </c>
      <c r="D177" s="3" t="s">
        <v>61</v>
      </c>
      <c r="E177" s="25" t="s">
        <v>877</v>
      </c>
      <c r="F177" s="3" t="s">
        <v>879</v>
      </c>
      <c r="G177" s="3"/>
      <c r="K177" s="13" t="n">
        <f aca="false">_xlfn.IFS(F177="","", F177=C177,1, F177&lt;&gt;C177,0)</f>
        <v>0</v>
      </c>
      <c r="L177" s="13" t="str">
        <f aca="false">_xlfn.IFS(G177="","", G177=D177,1, G177&lt;&gt;D177,0)</f>
        <v/>
      </c>
    </row>
    <row r="178" customFormat="false" ht="13.8" hidden="false" customHeight="false" outlineLevel="0" collapsed="false">
      <c r="A178" s="3" t="n">
        <v>177</v>
      </c>
      <c r="B178" s="3" t="s">
        <v>398</v>
      </c>
      <c r="C178" s="3" t="s">
        <v>105</v>
      </c>
      <c r="D178" s="3" t="s">
        <v>61</v>
      </c>
      <c r="E178" s="25" t="s">
        <v>874</v>
      </c>
      <c r="F178" s="3" t="s">
        <v>105</v>
      </c>
      <c r="G178" s="3" t="s">
        <v>61</v>
      </c>
      <c r="K178" s="13" t="n">
        <f aca="false">_xlfn.IFS(F178="","", F178=C178,1, F178&lt;&gt;C178,0)</f>
        <v>1</v>
      </c>
      <c r="L178" s="13" t="n">
        <f aca="false">_xlfn.IFS(G178="","", G178=D178,1, G178&lt;&gt;D178,0)</f>
        <v>1</v>
      </c>
    </row>
    <row r="179" customFormat="false" ht="13.8" hidden="false" customHeight="false" outlineLevel="0" collapsed="false">
      <c r="A179" s="3" t="n">
        <v>178</v>
      </c>
      <c r="B179" s="3" t="s">
        <v>810</v>
      </c>
      <c r="C179" s="3" t="s">
        <v>143</v>
      </c>
      <c r="D179" s="3" t="s">
        <v>198</v>
      </c>
      <c r="E179" s="25" t="s">
        <v>877</v>
      </c>
      <c r="F179" s="3" t="s">
        <v>150</v>
      </c>
      <c r="G179" s="3" t="s">
        <v>63</v>
      </c>
      <c r="K179" s="13" t="n">
        <f aca="false">_xlfn.IFS(F179="","", F179=C179,1, F179&lt;&gt;C179,0)</f>
        <v>0</v>
      </c>
      <c r="L179" s="13" t="n">
        <f aca="false">_xlfn.IFS(G179="","", G179=D179,1, G179&lt;&gt;D179,0)</f>
        <v>0</v>
      </c>
    </row>
    <row r="180" customFormat="false" ht="13.8" hidden="false" customHeight="false" outlineLevel="0" collapsed="false">
      <c r="A180" s="3" t="n">
        <v>179</v>
      </c>
      <c r="B180" s="3" t="s">
        <v>487</v>
      </c>
      <c r="C180" s="3" t="s">
        <v>105</v>
      </c>
      <c r="D180" s="3" t="s">
        <v>61</v>
      </c>
      <c r="E180" s="25" t="s">
        <v>877</v>
      </c>
      <c r="F180" s="3" t="s">
        <v>879</v>
      </c>
      <c r="G180" s="3"/>
      <c r="K180" s="13" t="n">
        <f aca="false">_xlfn.IFS(F180="","", F180=C180,1, F180&lt;&gt;C180,0)</f>
        <v>0</v>
      </c>
      <c r="L180" s="13" t="str">
        <f aca="false">_xlfn.IFS(G180="","", G180=D180,1, G180&lt;&gt;D180,0)</f>
        <v/>
      </c>
    </row>
    <row r="181" customFormat="false" ht="13.8" hidden="false" customHeight="false" outlineLevel="0" collapsed="false">
      <c r="A181" s="3" t="n">
        <v>180</v>
      </c>
      <c r="B181" s="3" t="s">
        <v>238</v>
      </c>
      <c r="C181" s="3" t="s">
        <v>143</v>
      </c>
      <c r="D181" s="3" t="s">
        <v>198</v>
      </c>
      <c r="E181" s="25" t="s">
        <v>874</v>
      </c>
      <c r="F181" s="3" t="s">
        <v>105</v>
      </c>
      <c r="G181" s="3" t="s">
        <v>61</v>
      </c>
      <c r="K181" s="13" t="n">
        <f aca="false">_xlfn.IFS(F181="","", F181=C181,1, F181&lt;&gt;C181,0)</f>
        <v>0</v>
      </c>
      <c r="L181" s="13" t="n">
        <f aca="false">_xlfn.IFS(G181="","", G181=D181,1, G181&lt;&gt;D181,0)</f>
        <v>0</v>
      </c>
    </row>
    <row r="182" customFormat="false" ht="13.8" hidden="false" customHeight="false" outlineLevel="0" collapsed="false">
      <c r="A182" s="3" t="n">
        <v>181</v>
      </c>
      <c r="B182" s="3" t="s">
        <v>411</v>
      </c>
      <c r="C182" s="3" t="s">
        <v>143</v>
      </c>
      <c r="D182" s="3" t="s">
        <v>198</v>
      </c>
      <c r="E182" s="25" t="s">
        <v>877</v>
      </c>
      <c r="F182" s="3" t="s">
        <v>879</v>
      </c>
      <c r="G182" s="3"/>
      <c r="K182" s="13" t="n">
        <f aca="false">_xlfn.IFS(F182="","", F182=C182,1, F182&lt;&gt;C182,0)</f>
        <v>0</v>
      </c>
      <c r="L182" s="13" t="str">
        <f aca="false">_xlfn.IFS(G182="","", G182=D182,1, G182&lt;&gt;D182,0)</f>
        <v/>
      </c>
    </row>
    <row r="183" customFormat="false" ht="13.8" hidden="false" customHeight="false" outlineLevel="0" collapsed="false">
      <c r="A183" s="3" t="n">
        <v>182</v>
      </c>
      <c r="B183" s="3" t="s">
        <v>820</v>
      </c>
      <c r="C183" s="3" t="s">
        <v>105</v>
      </c>
      <c r="D183" s="3" t="s">
        <v>61</v>
      </c>
      <c r="E183" s="25" t="s">
        <v>874</v>
      </c>
      <c r="F183" s="3" t="s">
        <v>105</v>
      </c>
      <c r="G183" s="3" t="s">
        <v>61</v>
      </c>
      <c r="K183" s="13" t="n">
        <f aca="false">_xlfn.IFS(F183="","", F183=C183,1, F183&lt;&gt;C183,0)</f>
        <v>1</v>
      </c>
      <c r="L183" s="13" t="n">
        <f aca="false">_xlfn.IFS(G183="","", G183=D183,1, G183&lt;&gt;D183,0)</f>
        <v>1</v>
      </c>
    </row>
    <row r="184" customFormat="false" ht="13.8" hidden="false" customHeight="false" outlineLevel="0" collapsed="false">
      <c r="A184" s="3" t="n">
        <v>183</v>
      </c>
      <c r="B184" s="3" t="s">
        <v>327</v>
      </c>
      <c r="C184" s="3" t="s">
        <v>105</v>
      </c>
      <c r="D184" s="3" t="s">
        <v>61</v>
      </c>
      <c r="E184" s="25" t="s">
        <v>874</v>
      </c>
      <c r="F184" s="3" t="s">
        <v>105</v>
      </c>
      <c r="G184" s="3" t="s">
        <v>61</v>
      </c>
      <c r="K184" s="13" t="n">
        <f aca="false">_xlfn.IFS(F184="","", F184=C184,1, F184&lt;&gt;C184,0)</f>
        <v>1</v>
      </c>
      <c r="L184" s="13" t="n">
        <f aca="false">_xlfn.IFS(G184="","", G184=D184,1, G184&lt;&gt;D184,0)</f>
        <v>1</v>
      </c>
    </row>
    <row r="185" customFormat="false" ht="13.8" hidden="false" customHeight="false" outlineLevel="0" collapsed="false">
      <c r="A185" s="3" t="n">
        <v>184</v>
      </c>
      <c r="B185" s="3" t="s">
        <v>839</v>
      </c>
      <c r="C185" s="3" t="s">
        <v>105</v>
      </c>
      <c r="D185" s="3" t="s">
        <v>61</v>
      </c>
      <c r="E185" s="25" t="s">
        <v>877</v>
      </c>
      <c r="F185" s="3" t="s">
        <v>150</v>
      </c>
      <c r="G185" s="3" t="s">
        <v>83</v>
      </c>
      <c r="K185" s="13" t="n">
        <f aca="false">_xlfn.IFS(F185="","", F185=C185,1, F185&lt;&gt;C185,0)</f>
        <v>0</v>
      </c>
      <c r="L185" s="13" t="n">
        <f aca="false">_xlfn.IFS(G185="","", G185=D185,1, G185&lt;&gt;D185,0)</f>
        <v>0</v>
      </c>
    </row>
    <row r="186" customFormat="false" ht="13.8" hidden="false" customHeight="false" outlineLevel="0" collapsed="false">
      <c r="A186" s="3" t="n">
        <v>185</v>
      </c>
      <c r="B186" s="3" t="s">
        <v>489</v>
      </c>
      <c r="C186" s="3" t="s">
        <v>150</v>
      </c>
      <c r="D186" s="3" t="s">
        <v>83</v>
      </c>
      <c r="E186" s="25" t="s">
        <v>877</v>
      </c>
      <c r="F186" s="3" t="s">
        <v>150</v>
      </c>
      <c r="G186" s="3" t="s">
        <v>83</v>
      </c>
      <c r="K186" s="13" t="n">
        <f aca="false">_xlfn.IFS(F186="","", F186=C186,1, F186&lt;&gt;C186,0)</f>
        <v>1</v>
      </c>
      <c r="L186" s="13" t="n">
        <f aca="false">_xlfn.IFS(G186="","", G186=D186,1, G186&lt;&gt;D186,0)</f>
        <v>1</v>
      </c>
    </row>
    <row r="187" customFormat="false" ht="13.8" hidden="false" customHeight="false" outlineLevel="0" collapsed="false">
      <c r="A187" s="3" t="n">
        <v>186</v>
      </c>
      <c r="B187" s="3" t="s">
        <v>280</v>
      </c>
      <c r="C187" s="3" t="s">
        <v>105</v>
      </c>
      <c r="D187" s="3" t="s">
        <v>77</v>
      </c>
      <c r="E187" s="25" t="s">
        <v>874</v>
      </c>
      <c r="F187" s="3" t="s">
        <v>105</v>
      </c>
      <c r="G187" s="3"/>
      <c r="K187" s="13" t="n">
        <f aca="false">_xlfn.IFS(F187="","", F187=C187,1, F187&lt;&gt;C187,0)</f>
        <v>1</v>
      </c>
      <c r="L187" s="13" t="str">
        <f aca="false">_xlfn.IFS(G187="","", G187=D187,1, G187&lt;&gt;D187,0)</f>
        <v/>
      </c>
    </row>
    <row r="188" customFormat="false" ht="13.8" hidden="false" customHeight="false" outlineLevel="0" collapsed="false">
      <c r="A188" s="3" t="n">
        <v>187</v>
      </c>
      <c r="B188" s="3" t="s">
        <v>545</v>
      </c>
      <c r="C188" s="3" t="s">
        <v>105</v>
      </c>
      <c r="D188" s="3" t="s">
        <v>61</v>
      </c>
      <c r="E188" s="25" t="s">
        <v>878</v>
      </c>
      <c r="F188" s="3"/>
      <c r="G188" s="3"/>
      <c r="K188" s="13" t="str">
        <f aca="false">_xlfn.IFS(F188="","", F188=C188,1, F188&lt;&gt;C188,0)</f>
        <v/>
      </c>
      <c r="L188" s="13" t="str">
        <f aca="false">_xlfn.IFS(G188="","", G188=D188,1, G188&lt;&gt;D188,0)</f>
        <v/>
      </c>
    </row>
    <row r="189" customFormat="false" ht="13.8" hidden="false" customHeight="false" outlineLevel="0" collapsed="false">
      <c r="A189" s="3" t="n">
        <v>188</v>
      </c>
      <c r="B189" s="3" t="s">
        <v>766</v>
      </c>
      <c r="C189" s="3" t="s">
        <v>143</v>
      </c>
      <c r="D189" s="3" t="s">
        <v>589</v>
      </c>
      <c r="E189" s="25" t="s">
        <v>877</v>
      </c>
      <c r="F189" s="3" t="s">
        <v>879</v>
      </c>
      <c r="G189" s="3"/>
      <c r="K189" s="13" t="n">
        <f aca="false">_xlfn.IFS(F189="","", F189=C189,1, F189&lt;&gt;C189,0)</f>
        <v>0</v>
      </c>
      <c r="L189" s="13" t="str">
        <f aca="false">_xlfn.IFS(G189="","", G189=D189,1, G189&lt;&gt;D189,0)</f>
        <v/>
      </c>
    </row>
    <row r="190" customFormat="false" ht="13.8" hidden="false" customHeight="false" outlineLevel="0" collapsed="false">
      <c r="A190" s="3" t="n">
        <v>189</v>
      </c>
      <c r="B190" s="3" t="s">
        <v>703</v>
      </c>
      <c r="C190" s="3" t="s">
        <v>105</v>
      </c>
      <c r="D190" s="3" t="s">
        <v>61</v>
      </c>
      <c r="E190" s="25" t="s">
        <v>877</v>
      </c>
      <c r="F190" s="3" t="s">
        <v>150</v>
      </c>
      <c r="G190" s="3" t="s">
        <v>883</v>
      </c>
      <c r="K190" s="13" t="n">
        <f aca="false">_xlfn.IFS(F190="","", F190=C190,1, F190&lt;&gt;C190,0)</f>
        <v>0</v>
      </c>
      <c r="L190" s="13" t="n">
        <f aca="false">_xlfn.IFS(G190="","", G190=D190,1, G190&lt;&gt;D190,0)</f>
        <v>0</v>
      </c>
    </row>
    <row r="191" customFormat="false" ht="13.8" hidden="false" customHeight="false" outlineLevel="0" collapsed="false">
      <c r="A191" s="3" t="n">
        <v>190</v>
      </c>
      <c r="B191" s="3" t="s">
        <v>780</v>
      </c>
      <c r="C191" s="3" t="s">
        <v>143</v>
      </c>
      <c r="D191" s="3" t="s">
        <v>198</v>
      </c>
      <c r="E191" s="25" t="s">
        <v>874</v>
      </c>
      <c r="F191" s="3" t="s">
        <v>105</v>
      </c>
      <c r="G191" s="3" t="s">
        <v>61</v>
      </c>
      <c r="K191" s="13" t="n">
        <f aca="false">_xlfn.IFS(F191="","", F191=C191,1, F191&lt;&gt;C191,0)</f>
        <v>0</v>
      </c>
      <c r="L191" s="13" t="n">
        <f aca="false">_xlfn.IFS(G191="","", G191=D191,1, G191&lt;&gt;D191,0)</f>
        <v>0</v>
      </c>
    </row>
    <row r="192" customFormat="false" ht="13.8" hidden="false" customHeight="false" outlineLevel="0" collapsed="false">
      <c r="A192" s="3" t="n">
        <v>191</v>
      </c>
      <c r="B192" s="3" t="s">
        <v>632</v>
      </c>
      <c r="C192" s="3" t="s">
        <v>105</v>
      </c>
      <c r="D192" s="3" t="s">
        <v>61</v>
      </c>
      <c r="E192" s="25" t="s">
        <v>878</v>
      </c>
      <c r="F192" s="3"/>
      <c r="G192" s="3"/>
      <c r="K192" s="13" t="str">
        <f aca="false">_xlfn.IFS(F192="","", F192=C192,1, F192&lt;&gt;C192,0)</f>
        <v/>
      </c>
      <c r="L192" s="13" t="str">
        <f aca="false">_xlfn.IFS(G192="","", G192=D192,1, G192&lt;&gt;D192,0)</f>
        <v/>
      </c>
    </row>
    <row r="193" customFormat="false" ht="13.8" hidden="false" customHeight="false" outlineLevel="0" collapsed="false">
      <c r="A193" s="3" t="n">
        <v>192</v>
      </c>
      <c r="B193" s="3" t="s">
        <v>684</v>
      </c>
      <c r="C193" s="3" t="s">
        <v>105</v>
      </c>
      <c r="D193" s="3" t="s">
        <v>61</v>
      </c>
      <c r="E193" s="25" t="s">
        <v>877</v>
      </c>
      <c r="F193" s="3" t="s">
        <v>879</v>
      </c>
      <c r="G193" s="3"/>
      <c r="K193" s="13" t="n">
        <f aca="false">_xlfn.IFS(F193="","", F193=C193,1, F193&lt;&gt;C193,0)</f>
        <v>0</v>
      </c>
      <c r="L193" s="13" t="str">
        <f aca="false">_xlfn.IFS(G193="","", G193=D193,1, G193&lt;&gt;D193,0)</f>
        <v/>
      </c>
    </row>
    <row r="194" customFormat="false" ht="13.8" hidden="false" customHeight="false" outlineLevel="0" collapsed="false">
      <c r="A194" s="3" t="n">
        <v>193</v>
      </c>
      <c r="B194" s="3" t="s">
        <v>239</v>
      </c>
      <c r="C194" s="3" t="s">
        <v>105</v>
      </c>
      <c r="D194" s="3" t="s">
        <v>55</v>
      </c>
      <c r="E194" s="25" t="s">
        <v>877</v>
      </c>
      <c r="F194" s="3" t="s">
        <v>879</v>
      </c>
      <c r="G194" s="3"/>
      <c r="K194" s="13" t="n">
        <f aca="false">_xlfn.IFS(F194="","", F194=C194,1, F194&lt;&gt;C194,0)</f>
        <v>0</v>
      </c>
      <c r="L194" s="13" t="str">
        <f aca="false">_xlfn.IFS(G194="","", G194=D194,1, G194&lt;&gt;D194,0)</f>
        <v/>
      </c>
    </row>
    <row r="195" customFormat="false" ht="13.8" hidden="false" customHeight="false" outlineLevel="0" collapsed="false">
      <c r="A195" s="3" t="n">
        <v>194</v>
      </c>
      <c r="B195" s="3" t="s">
        <v>388</v>
      </c>
      <c r="C195" s="3" t="s">
        <v>105</v>
      </c>
      <c r="D195" s="3" t="s">
        <v>61</v>
      </c>
      <c r="E195" s="25" t="s">
        <v>877</v>
      </c>
      <c r="F195" s="3" t="s">
        <v>879</v>
      </c>
      <c r="G195" s="3"/>
      <c r="K195" s="13" t="n">
        <f aca="false">_xlfn.IFS(F195="","", F195=C195,1, F195&lt;&gt;C195,0)</f>
        <v>0</v>
      </c>
      <c r="L195" s="13" t="str">
        <f aca="false">_xlfn.IFS(G195="","", G195=D195,1, G195&lt;&gt;D195,0)</f>
        <v/>
      </c>
    </row>
    <row r="196" customFormat="false" ht="13.8" hidden="false" customHeight="false" outlineLevel="0" collapsed="false">
      <c r="A196" s="3" t="n">
        <v>195</v>
      </c>
      <c r="B196" s="3" t="s">
        <v>497</v>
      </c>
      <c r="C196" s="3" t="s">
        <v>105</v>
      </c>
      <c r="D196" s="3" t="s">
        <v>61</v>
      </c>
      <c r="E196" s="25" t="s">
        <v>877</v>
      </c>
      <c r="F196" s="3" t="s">
        <v>879</v>
      </c>
      <c r="G196" s="3"/>
      <c r="K196" s="13" t="n">
        <f aca="false">_xlfn.IFS(F196="","", F196=C196,1, F196&lt;&gt;C196,0)</f>
        <v>0</v>
      </c>
      <c r="L196" s="13" t="str">
        <f aca="false">_xlfn.IFS(G196="","", G196=D196,1, G196&lt;&gt;D196,0)</f>
        <v/>
      </c>
    </row>
    <row r="197" customFormat="false" ht="13.8" hidden="false" customHeight="false" outlineLevel="0" collapsed="false">
      <c r="A197" s="3" t="n">
        <v>196</v>
      </c>
      <c r="B197" s="3" t="s">
        <v>316</v>
      </c>
      <c r="C197" s="3" t="s">
        <v>143</v>
      </c>
      <c r="D197" s="3" t="s">
        <v>198</v>
      </c>
      <c r="E197" s="25" t="s">
        <v>877</v>
      </c>
      <c r="F197" s="3" t="s">
        <v>879</v>
      </c>
      <c r="G197" s="3"/>
      <c r="K197" s="13" t="n">
        <f aca="false">_xlfn.IFS(F197="","", F197=C197,1, F197&lt;&gt;C197,0)</f>
        <v>0</v>
      </c>
      <c r="L197" s="13" t="str">
        <f aca="false">_xlfn.IFS(G197="","", G197=D197,1, G197&lt;&gt;D197,0)</f>
        <v/>
      </c>
    </row>
    <row r="198" customFormat="false" ht="13.8" hidden="false" customHeight="false" outlineLevel="0" collapsed="false">
      <c r="A198" s="3" t="n">
        <v>197</v>
      </c>
      <c r="B198" s="3" t="s">
        <v>827</v>
      </c>
      <c r="C198" s="3" t="s">
        <v>105</v>
      </c>
      <c r="D198" s="3" t="s">
        <v>61</v>
      </c>
      <c r="E198" s="25" t="s">
        <v>874</v>
      </c>
      <c r="F198" s="3" t="s">
        <v>105</v>
      </c>
      <c r="G198" s="3" t="s">
        <v>61</v>
      </c>
      <c r="K198" s="13" t="n">
        <f aca="false">_xlfn.IFS(F198="","", F198=C198,1, F198&lt;&gt;C198,0)</f>
        <v>1</v>
      </c>
      <c r="L198" s="13" t="n">
        <f aca="false">_xlfn.IFS(G198="","", G198=D198,1, G198&lt;&gt;D198,0)</f>
        <v>1</v>
      </c>
    </row>
    <row r="199" customFormat="false" ht="13.8" hidden="false" customHeight="false" outlineLevel="0" collapsed="false">
      <c r="A199" s="3" t="n">
        <v>198</v>
      </c>
      <c r="B199" s="3" t="s">
        <v>440</v>
      </c>
      <c r="C199" s="3" t="s">
        <v>105</v>
      </c>
      <c r="D199" s="3" t="s">
        <v>61</v>
      </c>
      <c r="E199" s="25" t="s">
        <v>874</v>
      </c>
      <c r="F199" s="3" t="s">
        <v>105</v>
      </c>
      <c r="G199" s="3" t="s">
        <v>61</v>
      </c>
      <c r="K199" s="13" t="n">
        <f aca="false">_xlfn.IFS(F199="","", F199=C199,1, F199&lt;&gt;C199,0)</f>
        <v>1</v>
      </c>
      <c r="L199" s="13" t="n">
        <f aca="false">_xlfn.IFS(G199="","", G199=D199,1, G199&lt;&gt;D199,0)</f>
        <v>1</v>
      </c>
    </row>
    <row r="200" customFormat="false" ht="13.8" hidden="false" customHeight="false" outlineLevel="0" collapsed="false">
      <c r="A200" s="3" t="n">
        <v>199</v>
      </c>
      <c r="B200" s="3" t="s">
        <v>681</v>
      </c>
      <c r="C200" s="3" t="s">
        <v>105</v>
      </c>
      <c r="D200" s="3" t="s">
        <v>61</v>
      </c>
      <c r="E200" s="25" t="s">
        <v>878</v>
      </c>
      <c r="F200" s="3"/>
      <c r="G200" s="3"/>
      <c r="K200" s="13" t="str">
        <f aca="false">_xlfn.IFS(F200="","", F200=C200,1, F200&lt;&gt;C200,0)</f>
        <v/>
      </c>
      <c r="L200" s="13" t="str">
        <f aca="false">_xlfn.IFS(G200="","", G200=D200,1, G200&lt;&gt;D200,0)</f>
        <v/>
      </c>
    </row>
    <row r="201" customFormat="false" ht="13.8" hidden="false" customHeight="false" outlineLevel="0" collapsed="false">
      <c r="A201" s="3" t="n">
        <v>200</v>
      </c>
      <c r="B201" s="3" t="s">
        <v>540</v>
      </c>
      <c r="C201" s="3" t="s">
        <v>143</v>
      </c>
      <c r="D201" s="3" t="s">
        <v>288</v>
      </c>
      <c r="E201" s="25" t="s">
        <v>878</v>
      </c>
      <c r="F201" s="3"/>
      <c r="G201" s="3"/>
      <c r="K201" s="13" t="str">
        <f aca="false">_xlfn.IFS(F201="","", F201=C201,1, F201&lt;&gt;C201,0)</f>
        <v/>
      </c>
      <c r="L201" s="13" t="str">
        <f aca="false">_xlfn.IFS(G201="","", G201=D201,1, G201&lt;&gt;D201,0)</f>
        <v/>
      </c>
    </row>
    <row r="202" customFormat="false" ht="13.8" hidden="false" customHeight="false" outlineLevel="0" collapsed="false">
      <c r="A202" s="3" t="n">
        <v>201</v>
      </c>
      <c r="B202" s="3" t="s">
        <v>281</v>
      </c>
      <c r="C202" s="3" t="s">
        <v>105</v>
      </c>
      <c r="D202" s="3" t="s">
        <v>77</v>
      </c>
      <c r="E202" s="25" t="s">
        <v>877</v>
      </c>
      <c r="F202" s="3" t="s">
        <v>879</v>
      </c>
      <c r="G202" s="3"/>
      <c r="K202" s="13" t="n">
        <f aca="false">_xlfn.IFS(F202="","", F202=C202,1, F202&lt;&gt;C202,0)</f>
        <v>0</v>
      </c>
      <c r="L202" s="13" t="str">
        <f aca="false">_xlfn.IFS(G202="","", G202=D202,1, G202&lt;&gt;D202,0)</f>
        <v/>
      </c>
    </row>
    <row r="203" customFormat="false" ht="13.8" hidden="false" customHeight="false" outlineLevel="0" collapsed="false">
      <c r="A203" s="3" t="n">
        <v>202</v>
      </c>
      <c r="B203" s="3" t="s">
        <v>867</v>
      </c>
      <c r="C203" s="3" t="s">
        <v>105</v>
      </c>
      <c r="D203" s="3" t="s">
        <v>61</v>
      </c>
      <c r="E203" s="25" t="s">
        <v>874</v>
      </c>
      <c r="F203" s="3" t="s">
        <v>105</v>
      </c>
      <c r="G203" s="3" t="s">
        <v>61</v>
      </c>
      <c r="K203" s="13" t="n">
        <f aca="false">_xlfn.IFS(F203="","", F203=C203,1, F203&lt;&gt;C203,0)</f>
        <v>1</v>
      </c>
      <c r="L203" s="13" t="n">
        <f aca="false">_xlfn.IFS(G203="","", G203=D203,1, G203&lt;&gt;D203,0)</f>
        <v>1</v>
      </c>
    </row>
    <row r="204" customFormat="false" ht="13.8" hidden="false" customHeight="false" outlineLevel="0" collapsed="false">
      <c r="A204" s="3" t="n">
        <v>203</v>
      </c>
      <c r="B204" s="3" t="s">
        <v>112</v>
      </c>
      <c r="C204" s="3" t="s">
        <v>105</v>
      </c>
      <c r="D204" s="3" t="s">
        <v>61</v>
      </c>
      <c r="E204" s="25" t="s">
        <v>874</v>
      </c>
      <c r="F204" s="3" t="s">
        <v>105</v>
      </c>
      <c r="G204" s="3" t="s">
        <v>55</v>
      </c>
      <c r="K204" s="13" t="n">
        <f aca="false">_xlfn.IFS(F204="","", F204=C204,1, F204&lt;&gt;C204,0)</f>
        <v>1</v>
      </c>
      <c r="L204" s="13" t="n">
        <f aca="false">_xlfn.IFS(G204="","", G204=D204,1, G204&lt;&gt;D204,0)</f>
        <v>0</v>
      </c>
    </row>
    <row r="205" customFormat="false" ht="13.8" hidden="false" customHeight="false" outlineLevel="0" collapsed="false">
      <c r="A205" s="3" t="n">
        <v>204</v>
      </c>
      <c r="B205" s="3" t="s">
        <v>282</v>
      </c>
      <c r="C205" s="3" t="s">
        <v>105</v>
      </c>
      <c r="D205" s="3" t="s">
        <v>61</v>
      </c>
      <c r="E205" s="25" t="s">
        <v>874</v>
      </c>
      <c r="F205" s="3" t="s">
        <v>105</v>
      </c>
      <c r="G205" s="3" t="s">
        <v>61</v>
      </c>
      <c r="K205" s="13" t="n">
        <f aca="false">_xlfn.IFS(F205="","", F205=C205,1, F205&lt;&gt;C205,0)</f>
        <v>1</v>
      </c>
      <c r="L205" s="13" t="n">
        <f aca="false">_xlfn.IFS(G205="","", G205=D205,1, G205&lt;&gt;D205,0)</f>
        <v>1</v>
      </c>
    </row>
    <row r="206" customFormat="false" ht="13.8" hidden="false" customHeight="false" outlineLevel="0" collapsed="false">
      <c r="A206" s="3" t="n">
        <v>205</v>
      </c>
      <c r="B206" s="3" t="s">
        <v>608</v>
      </c>
      <c r="C206" s="3" t="s">
        <v>105</v>
      </c>
      <c r="D206" s="3" t="s">
        <v>61</v>
      </c>
      <c r="E206" s="25" t="s">
        <v>874</v>
      </c>
      <c r="F206" s="3" t="s">
        <v>105</v>
      </c>
      <c r="G206" s="3"/>
      <c r="K206" s="13" t="n">
        <f aca="false">_xlfn.IFS(F206="","", F206=C206,1, F206&lt;&gt;C206,0)</f>
        <v>1</v>
      </c>
      <c r="L206" s="13" t="str">
        <f aca="false">_xlfn.IFS(G206="","", G206=D206,1, G206&lt;&gt;D206,0)</f>
        <v/>
      </c>
    </row>
    <row r="207" customFormat="false" ht="13.8" hidden="false" customHeight="false" outlineLevel="0" collapsed="false">
      <c r="A207" s="3" t="n">
        <v>206</v>
      </c>
      <c r="B207" s="3" t="s">
        <v>517</v>
      </c>
      <c r="C207" s="3" t="s">
        <v>143</v>
      </c>
      <c r="D207" s="3" t="s">
        <v>288</v>
      </c>
      <c r="E207" s="25" t="s">
        <v>877</v>
      </c>
      <c r="F207" s="3" t="s">
        <v>879</v>
      </c>
      <c r="G207" s="3"/>
      <c r="K207" s="13" t="n">
        <f aca="false">_xlfn.IFS(F207="","", F207=C207,1, F207&lt;&gt;C207,0)</f>
        <v>0</v>
      </c>
      <c r="L207" s="13" t="str">
        <f aca="false">_xlfn.IFS(G207="","", G207=D207,1, G207&lt;&gt;D207,0)</f>
        <v/>
      </c>
    </row>
    <row r="208" customFormat="false" ht="13.8" hidden="false" customHeight="false" outlineLevel="0" collapsed="false">
      <c r="A208" s="3" t="n">
        <v>207</v>
      </c>
      <c r="B208" s="3" t="s">
        <v>749</v>
      </c>
      <c r="C208" s="3" t="s">
        <v>143</v>
      </c>
      <c r="D208" s="3" t="s">
        <v>198</v>
      </c>
      <c r="E208" s="25" t="s">
        <v>877</v>
      </c>
      <c r="F208" s="3" t="s">
        <v>879</v>
      </c>
      <c r="G208" s="3"/>
      <c r="K208" s="13" t="n">
        <f aca="false">_xlfn.IFS(F208="","", F208=C208,1, F208&lt;&gt;C208,0)</f>
        <v>0</v>
      </c>
      <c r="L208" s="13" t="str">
        <f aca="false">_xlfn.IFS(G208="","", G208=D208,1, G208&lt;&gt;D208,0)</f>
        <v/>
      </c>
    </row>
    <row r="209" customFormat="false" ht="13.8" hidden="false" customHeight="false" outlineLevel="0" collapsed="false">
      <c r="A209" s="3" t="n">
        <v>208</v>
      </c>
      <c r="B209" s="3" t="s">
        <v>571</v>
      </c>
      <c r="C209" s="3" t="s">
        <v>105</v>
      </c>
      <c r="D209" s="3" t="s">
        <v>61</v>
      </c>
      <c r="E209" s="25" t="s">
        <v>877</v>
      </c>
      <c r="F209" s="3" t="s">
        <v>879</v>
      </c>
      <c r="G209" s="3"/>
      <c r="K209" s="13" t="n">
        <f aca="false">_xlfn.IFS(F209="","", F209=C209,1, F209&lt;&gt;C209,0)</f>
        <v>0</v>
      </c>
      <c r="L209" s="13" t="str">
        <f aca="false">_xlfn.IFS(G209="","", G209=D209,1, G209&lt;&gt;D209,0)</f>
        <v/>
      </c>
    </row>
    <row r="210" customFormat="false" ht="13.8" hidden="false" customHeight="false" outlineLevel="0" collapsed="false">
      <c r="A210" s="3" t="n">
        <v>209</v>
      </c>
      <c r="B210" s="3" t="s">
        <v>822</v>
      </c>
      <c r="C210" s="3" t="s">
        <v>105</v>
      </c>
      <c r="D210" s="3" t="s">
        <v>61</v>
      </c>
      <c r="E210" s="25" t="s">
        <v>874</v>
      </c>
      <c r="F210" s="3" t="s">
        <v>105</v>
      </c>
      <c r="G210" s="3" t="s">
        <v>61</v>
      </c>
      <c r="K210" s="13" t="n">
        <f aca="false">_xlfn.IFS(F210="","", F210=C210,1, F210&lt;&gt;C210,0)</f>
        <v>1</v>
      </c>
      <c r="L210" s="13" t="n">
        <f aca="false">_xlfn.IFS(G210="","", G210=D210,1, G210&lt;&gt;D210,0)</f>
        <v>1</v>
      </c>
    </row>
    <row r="211" customFormat="false" ht="13.8" hidden="false" customHeight="false" outlineLevel="0" collapsed="false">
      <c r="A211" s="3" t="n">
        <v>210</v>
      </c>
      <c r="B211" s="3" t="s">
        <v>283</v>
      </c>
      <c r="C211" s="3" t="s">
        <v>105</v>
      </c>
      <c r="D211" s="3" t="s">
        <v>77</v>
      </c>
      <c r="E211" s="25" t="s">
        <v>877</v>
      </c>
      <c r="F211" s="3" t="s">
        <v>150</v>
      </c>
      <c r="G211" s="3" t="s">
        <v>63</v>
      </c>
      <c r="K211" s="13" t="n">
        <f aca="false">_xlfn.IFS(F211="","", F211=C211,1, F211&lt;&gt;C211,0)</f>
        <v>0</v>
      </c>
      <c r="L211" s="13" t="n">
        <f aca="false">_xlfn.IFS(G211="","", G211=D211,1, G211&lt;&gt;D211,0)</f>
        <v>0</v>
      </c>
    </row>
    <row r="212" customFormat="false" ht="13.8" hidden="false" customHeight="false" outlineLevel="0" collapsed="false">
      <c r="A212" s="3" t="n">
        <v>211</v>
      </c>
      <c r="B212" s="3" t="s">
        <v>284</v>
      </c>
      <c r="C212" s="3" t="s">
        <v>105</v>
      </c>
      <c r="D212" s="3" t="s">
        <v>61</v>
      </c>
      <c r="E212" s="25" t="s">
        <v>877</v>
      </c>
      <c r="F212" s="3" t="s">
        <v>879</v>
      </c>
      <c r="G212" s="3"/>
      <c r="K212" s="13" t="n">
        <f aca="false">_xlfn.IFS(F212="","", F212=C212,1, F212&lt;&gt;C212,0)</f>
        <v>0</v>
      </c>
      <c r="L212" s="13" t="str">
        <f aca="false">_xlfn.IFS(G212="","", G212=D212,1, G212&lt;&gt;D212,0)</f>
        <v/>
      </c>
    </row>
    <row r="213" customFormat="false" ht="13.8" hidden="false" customHeight="false" outlineLevel="0" collapsed="false">
      <c r="A213" s="3" t="n">
        <v>212</v>
      </c>
      <c r="B213" s="3" t="s">
        <v>852</v>
      </c>
      <c r="C213" s="3" t="s">
        <v>105</v>
      </c>
      <c r="D213" s="3" t="s">
        <v>61</v>
      </c>
      <c r="E213" s="25" t="s">
        <v>874</v>
      </c>
      <c r="F213" s="3" t="s">
        <v>105</v>
      </c>
      <c r="G213" s="3" t="s">
        <v>61</v>
      </c>
      <c r="K213" s="13" t="n">
        <f aca="false">_xlfn.IFS(F213="","", F213=C213,1, F213&lt;&gt;C213,0)</f>
        <v>1</v>
      </c>
      <c r="L213" s="13" t="n">
        <f aca="false">_xlfn.IFS(G213="","", G213=D213,1, G213&lt;&gt;D213,0)</f>
        <v>1</v>
      </c>
    </row>
    <row r="214" customFormat="false" ht="13.8" hidden="false" customHeight="false" outlineLevel="0" collapsed="false">
      <c r="A214" s="3" t="n">
        <v>213</v>
      </c>
      <c r="B214" s="3" t="s">
        <v>412</v>
      </c>
      <c r="C214" s="3" t="s">
        <v>105</v>
      </c>
      <c r="D214" s="3" t="s">
        <v>61</v>
      </c>
      <c r="E214" s="25" t="s">
        <v>877</v>
      </c>
      <c r="F214" s="3" t="s">
        <v>879</v>
      </c>
      <c r="G214" s="3"/>
      <c r="K214" s="13" t="n">
        <f aca="false">_xlfn.IFS(F214="","", F214=C214,1, F214&lt;&gt;C214,0)</f>
        <v>0</v>
      </c>
      <c r="L214" s="13" t="str">
        <f aca="false">_xlfn.IFS(G214="","", G214=D214,1, G214&lt;&gt;D214,0)</f>
        <v/>
      </c>
    </row>
    <row r="215" customFormat="false" ht="13.8" hidden="false" customHeight="false" outlineLevel="0" collapsed="false">
      <c r="A215" s="3" t="n">
        <v>214</v>
      </c>
      <c r="B215" s="3" t="s">
        <v>240</v>
      </c>
      <c r="C215" s="3" t="s">
        <v>105</v>
      </c>
      <c r="D215" s="3" t="s">
        <v>77</v>
      </c>
      <c r="E215" s="25" t="s">
        <v>874</v>
      </c>
      <c r="F215" s="3" t="s">
        <v>105</v>
      </c>
      <c r="G215" s="3" t="s">
        <v>61</v>
      </c>
      <c r="K215" s="13" t="n">
        <f aca="false">_xlfn.IFS(F215="","", F215=C215,1, F215&lt;&gt;C215,0)</f>
        <v>1</v>
      </c>
      <c r="L215" s="13" t="n">
        <f aca="false">_xlfn.IFS(G215="","", G215=D215,1, G215&lt;&gt;D215,0)</f>
        <v>0</v>
      </c>
    </row>
    <row r="216" customFormat="false" ht="13.8" hidden="false" customHeight="false" outlineLevel="0" collapsed="false">
      <c r="A216" s="3" t="n">
        <v>215</v>
      </c>
      <c r="B216" s="3" t="s">
        <v>344</v>
      </c>
      <c r="C216" s="3" t="s">
        <v>105</v>
      </c>
      <c r="D216" s="3" t="s">
        <v>61</v>
      </c>
      <c r="E216" s="25" t="s">
        <v>874</v>
      </c>
      <c r="F216" s="3" t="s">
        <v>105</v>
      </c>
      <c r="G216" s="3" t="s">
        <v>61</v>
      </c>
      <c r="K216" s="13" t="n">
        <f aca="false">_xlfn.IFS(F216="","", F216=C216,1, F216&lt;&gt;C216,0)</f>
        <v>1</v>
      </c>
      <c r="L216" s="13" t="n">
        <f aca="false">_xlfn.IFS(G216="","", G216=D216,1, G216&lt;&gt;D216,0)</f>
        <v>1</v>
      </c>
    </row>
    <row r="217" customFormat="false" ht="13.8" hidden="false" customHeight="false" outlineLevel="0" collapsed="false">
      <c r="A217" s="3" t="n">
        <v>216</v>
      </c>
      <c r="B217" s="3" t="s">
        <v>665</v>
      </c>
      <c r="C217" s="3" t="s">
        <v>105</v>
      </c>
      <c r="D217" s="3" t="s">
        <v>61</v>
      </c>
      <c r="E217" s="25" t="s">
        <v>877</v>
      </c>
      <c r="F217" s="3" t="s">
        <v>879</v>
      </c>
      <c r="G217" s="3"/>
      <c r="K217" s="13" t="n">
        <f aca="false">_xlfn.IFS(F217="","", F217=C217,1, F217&lt;&gt;C217,0)</f>
        <v>0</v>
      </c>
      <c r="L217" s="13" t="str">
        <f aca="false">_xlfn.IFS(G217="","", G217=D217,1, G217&lt;&gt;D217,0)</f>
        <v/>
      </c>
    </row>
    <row r="218" customFormat="false" ht="13.8" hidden="false" customHeight="false" outlineLevel="0" collapsed="false">
      <c r="A218" s="3" t="n">
        <v>217</v>
      </c>
      <c r="B218" s="3" t="s">
        <v>158</v>
      </c>
      <c r="C218" s="3" t="s">
        <v>105</v>
      </c>
      <c r="D218" s="3" t="s">
        <v>61</v>
      </c>
      <c r="E218" s="25" t="s">
        <v>877</v>
      </c>
      <c r="F218" s="3" t="s">
        <v>150</v>
      </c>
      <c r="G218" s="3" t="s">
        <v>63</v>
      </c>
      <c r="K218" s="13" t="n">
        <f aca="false">_xlfn.IFS(F218="","", F218=C218,1, F218&lt;&gt;C218,0)</f>
        <v>0</v>
      </c>
      <c r="L218" s="13" t="n">
        <f aca="false">_xlfn.IFS(G218="","", G218=D218,1, G218&lt;&gt;D218,0)</f>
        <v>0</v>
      </c>
    </row>
    <row r="219" customFormat="false" ht="13.8" hidden="false" customHeight="false" outlineLevel="0" collapsed="false">
      <c r="A219" s="3" t="n">
        <v>218</v>
      </c>
      <c r="B219" s="3" t="s">
        <v>171</v>
      </c>
      <c r="C219" s="3" t="s">
        <v>105</v>
      </c>
      <c r="D219" s="3" t="s">
        <v>61</v>
      </c>
      <c r="E219" s="25" t="s">
        <v>874</v>
      </c>
      <c r="F219" s="3" t="s">
        <v>105</v>
      </c>
      <c r="G219" s="3" t="s">
        <v>61</v>
      </c>
      <c r="K219" s="13" t="n">
        <f aca="false">_xlfn.IFS(F219="","", F219=C219,1, F219&lt;&gt;C219,0)</f>
        <v>1</v>
      </c>
      <c r="L219" s="13" t="n">
        <f aca="false">_xlfn.IFS(G219="","", G219=D219,1, G219&lt;&gt;D219,0)</f>
        <v>1</v>
      </c>
    </row>
    <row r="220" customFormat="false" ht="13.8" hidden="false" customHeight="false" outlineLevel="0" collapsed="false">
      <c r="A220" s="3" t="n">
        <v>219</v>
      </c>
      <c r="B220" s="3" t="s">
        <v>389</v>
      </c>
      <c r="C220" s="3" t="s">
        <v>105</v>
      </c>
      <c r="D220" s="3" t="s">
        <v>61</v>
      </c>
      <c r="E220" s="25" t="s">
        <v>878</v>
      </c>
      <c r="F220" s="3"/>
      <c r="G220" s="3"/>
      <c r="K220" s="13" t="str">
        <f aca="false">_xlfn.IFS(F220="","", F220=C220,1, F220&lt;&gt;C220,0)</f>
        <v/>
      </c>
      <c r="L220" s="13" t="str">
        <f aca="false">_xlfn.IFS(G220="","", G220=D220,1, G220&lt;&gt;D220,0)</f>
        <v/>
      </c>
    </row>
    <row r="221" customFormat="false" ht="13.8" hidden="false" customHeight="false" outlineLevel="0" collapsed="false">
      <c r="A221" s="3" t="n">
        <v>220</v>
      </c>
      <c r="B221" s="3" t="s">
        <v>599</v>
      </c>
      <c r="C221" s="3" t="s">
        <v>105</v>
      </c>
      <c r="D221" s="3" t="s">
        <v>77</v>
      </c>
      <c r="E221" s="25" t="s">
        <v>877</v>
      </c>
      <c r="F221" s="3" t="s">
        <v>879</v>
      </c>
      <c r="G221" s="3"/>
      <c r="K221" s="13" t="n">
        <f aca="false">_xlfn.IFS(F221="","", F221=C221,1, F221&lt;&gt;C221,0)</f>
        <v>0</v>
      </c>
      <c r="L221" s="13" t="str">
        <f aca="false">_xlfn.IFS(G221="","", G221=D221,1, G221&lt;&gt;D221,0)</f>
        <v/>
      </c>
    </row>
    <row r="222" customFormat="false" ht="13.8" hidden="false" customHeight="false" outlineLevel="0" collapsed="false">
      <c r="A222" s="3" t="n">
        <v>221</v>
      </c>
      <c r="B222" s="3" t="s">
        <v>241</v>
      </c>
      <c r="C222" s="3" t="s">
        <v>143</v>
      </c>
      <c r="D222" s="3" t="s">
        <v>198</v>
      </c>
      <c r="E222" s="25" t="s">
        <v>877</v>
      </c>
      <c r="F222" s="3" t="s">
        <v>879</v>
      </c>
      <c r="G222" s="3"/>
      <c r="K222" s="13" t="n">
        <f aca="false">_xlfn.IFS(F222="","", F222=C222,1, F222&lt;&gt;C222,0)</f>
        <v>0</v>
      </c>
      <c r="L222" s="13" t="str">
        <f aca="false">_xlfn.IFS(G222="","", G222=D222,1, G222&lt;&gt;D222,0)</f>
        <v/>
      </c>
    </row>
    <row r="223" customFormat="false" ht="13.8" hidden="false" customHeight="false" outlineLevel="0" collapsed="false">
      <c r="A223" s="3" t="n">
        <v>222</v>
      </c>
      <c r="B223" s="3" t="s">
        <v>718</v>
      </c>
      <c r="C223" s="3" t="s">
        <v>143</v>
      </c>
      <c r="D223" s="3" t="s">
        <v>589</v>
      </c>
      <c r="E223" s="25" t="s">
        <v>874</v>
      </c>
      <c r="F223" s="3" t="s">
        <v>105</v>
      </c>
      <c r="G223" s="3" t="s">
        <v>61</v>
      </c>
      <c r="K223" s="13" t="n">
        <f aca="false">_xlfn.IFS(F223="","", F223=C223,1, F223&lt;&gt;C223,0)</f>
        <v>0</v>
      </c>
      <c r="L223" s="13" t="n">
        <f aca="false">_xlfn.IFS(G223="","", G223=D223,1, G223&lt;&gt;D223,0)</f>
        <v>0</v>
      </c>
    </row>
    <row r="224" customFormat="false" ht="13.8" hidden="false" customHeight="false" outlineLevel="0" collapsed="false">
      <c r="A224" s="3" t="n">
        <v>223</v>
      </c>
      <c r="B224" s="3" t="s">
        <v>853</v>
      </c>
      <c r="C224" s="3" t="s">
        <v>143</v>
      </c>
      <c r="D224" s="3" t="s">
        <v>589</v>
      </c>
      <c r="E224" s="25" t="s">
        <v>874</v>
      </c>
      <c r="F224" s="3" t="s">
        <v>105</v>
      </c>
      <c r="G224" s="3" t="s">
        <v>61</v>
      </c>
      <c r="K224" s="13" t="n">
        <f aca="false">_xlfn.IFS(F224="","", F224=C224,1, F224&lt;&gt;C224,0)</f>
        <v>0</v>
      </c>
      <c r="L224" s="13" t="n">
        <f aca="false">_xlfn.IFS(G224="","", G224=D224,1, G224&lt;&gt;D224,0)</f>
        <v>0</v>
      </c>
    </row>
    <row r="225" customFormat="false" ht="13.8" hidden="false" customHeight="false" outlineLevel="0" collapsed="false">
      <c r="A225" s="3" t="n">
        <v>224</v>
      </c>
      <c r="B225" s="3" t="s">
        <v>569</v>
      </c>
      <c r="C225" s="3" t="s">
        <v>105</v>
      </c>
      <c r="D225" s="3" t="s">
        <v>61</v>
      </c>
      <c r="E225" s="25" t="s">
        <v>877</v>
      </c>
      <c r="F225" s="3" t="s">
        <v>879</v>
      </c>
      <c r="G225" s="3"/>
      <c r="K225" s="13" t="n">
        <f aca="false">_xlfn.IFS(F225="","", F225=C225,1, F225&lt;&gt;C225,0)</f>
        <v>0</v>
      </c>
      <c r="L225" s="13" t="str">
        <f aca="false">_xlfn.IFS(G225="","", G225=D225,1, G225&lt;&gt;D225,0)</f>
        <v/>
      </c>
    </row>
    <row r="226" customFormat="false" ht="13.8" hidden="false" customHeight="false" outlineLevel="0" collapsed="false">
      <c r="A226" s="3" t="n">
        <v>225</v>
      </c>
      <c r="B226" s="3" t="s">
        <v>602</v>
      </c>
      <c r="C226" s="3" t="s">
        <v>143</v>
      </c>
      <c r="D226" s="3" t="s">
        <v>256</v>
      </c>
      <c r="E226" s="25" t="s">
        <v>877</v>
      </c>
      <c r="F226" s="3" t="s">
        <v>150</v>
      </c>
      <c r="G226" s="3" t="s">
        <v>63</v>
      </c>
      <c r="K226" s="13" t="n">
        <f aca="false">_xlfn.IFS(F226="","", F226=C226,1, F226&lt;&gt;C226,0)</f>
        <v>0</v>
      </c>
      <c r="L226" s="13" t="n">
        <f aca="false">_xlfn.IFS(G226="","", G226=D226,1, G226&lt;&gt;D226,0)</f>
        <v>0</v>
      </c>
    </row>
    <row r="227" customFormat="false" ht="13.8" hidden="false" customHeight="false" outlineLevel="0" collapsed="false">
      <c r="A227" s="3" t="n">
        <v>226</v>
      </c>
      <c r="B227" s="3" t="s">
        <v>242</v>
      </c>
      <c r="C227" s="3" t="s">
        <v>105</v>
      </c>
      <c r="D227" s="3" t="s">
        <v>61</v>
      </c>
      <c r="E227" s="25" t="s">
        <v>877</v>
      </c>
      <c r="F227" s="3" t="s">
        <v>879</v>
      </c>
      <c r="G227" s="3"/>
      <c r="K227" s="13" t="n">
        <f aca="false">_xlfn.IFS(F227="","", F227=C227,1, F227&lt;&gt;C227,0)</f>
        <v>0</v>
      </c>
      <c r="L227" s="13" t="str">
        <f aca="false">_xlfn.IFS(G227="","", G227=D227,1, G227&lt;&gt;D227,0)</f>
        <v/>
      </c>
    </row>
    <row r="228" customFormat="false" ht="13.8" hidden="false" customHeight="false" outlineLevel="0" collapsed="false">
      <c r="A228" s="3" t="n">
        <v>227</v>
      </c>
      <c r="B228" s="3" t="s">
        <v>317</v>
      </c>
      <c r="C228" s="3" t="s">
        <v>105</v>
      </c>
      <c r="D228" s="3" t="s">
        <v>61</v>
      </c>
      <c r="E228" s="25" t="s">
        <v>877</v>
      </c>
      <c r="F228" s="3" t="s">
        <v>879</v>
      </c>
      <c r="G228" s="3"/>
      <c r="K228" s="13" t="n">
        <f aca="false">_xlfn.IFS(F228="","", F228=C228,1, F228&lt;&gt;C228,0)</f>
        <v>0</v>
      </c>
      <c r="L228" s="13" t="str">
        <f aca="false">_xlfn.IFS(G228="","", G228=D228,1, G228&lt;&gt;D228,0)</f>
        <v/>
      </c>
    </row>
    <row r="229" customFormat="false" ht="13.8" hidden="false" customHeight="false" outlineLevel="0" collapsed="false">
      <c r="A229" s="3" t="n">
        <v>228</v>
      </c>
      <c r="B229" s="3" t="s">
        <v>654</v>
      </c>
      <c r="C229" s="3" t="s">
        <v>105</v>
      </c>
      <c r="D229" s="3" t="s">
        <v>61</v>
      </c>
      <c r="E229" s="25" t="s">
        <v>877</v>
      </c>
      <c r="F229" s="3" t="s">
        <v>879</v>
      </c>
      <c r="G229" s="3"/>
      <c r="K229" s="13" t="n">
        <f aca="false">_xlfn.IFS(F229="","", F229=C229,1, F229&lt;&gt;C229,0)</f>
        <v>0</v>
      </c>
      <c r="L229" s="13" t="str">
        <f aca="false">_xlfn.IFS(G229="","", G229=D229,1, G229&lt;&gt;D229,0)</f>
        <v/>
      </c>
    </row>
    <row r="230" customFormat="false" ht="13.8" hidden="false" customHeight="false" outlineLevel="0" collapsed="false">
      <c r="A230" s="3" t="n">
        <v>229</v>
      </c>
      <c r="B230" s="3" t="s">
        <v>285</v>
      </c>
      <c r="C230" s="3" t="s">
        <v>105</v>
      </c>
      <c r="D230" s="3" t="s">
        <v>61</v>
      </c>
      <c r="E230" s="25" t="s">
        <v>877</v>
      </c>
      <c r="F230" s="3" t="s">
        <v>879</v>
      </c>
      <c r="G230" s="3"/>
      <c r="K230" s="13" t="n">
        <f aca="false">_xlfn.IFS(F230="","", F230=C230,1, F230&lt;&gt;C230,0)</f>
        <v>0</v>
      </c>
      <c r="L230" s="13" t="str">
        <f aca="false">_xlfn.IFS(G230="","", G230=D230,1, G230&lt;&gt;D230,0)</f>
        <v/>
      </c>
    </row>
    <row r="231" customFormat="false" ht="13.8" hidden="false" customHeight="false" outlineLevel="0" collapsed="false">
      <c r="A231" s="3" t="n">
        <v>230</v>
      </c>
      <c r="B231" s="3" t="s">
        <v>674</v>
      </c>
      <c r="C231" s="3" t="s">
        <v>105</v>
      </c>
      <c r="D231" s="3" t="s">
        <v>61</v>
      </c>
      <c r="E231" s="25" t="s">
        <v>874</v>
      </c>
      <c r="F231" s="3" t="s">
        <v>105</v>
      </c>
      <c r="G231" s="3" t="s">
        <v>61</v>
      </c>
      <c r="K231" s="13" t="n">
        <f aca="false">_xlfn.IFS(F231="","", F231=C231,1, F231&lt;&gt;C231,0)</f>
        <v>1</v>
      </c>
      <c r="L231" s="13" t="n">
        <f aca="false">_xlfn.IFS(G231="","", G231=D231,1, G231&lt;&gt;D231,0)</f>
        <v>1</v>
      </c>
    </row>
    <row r="232" customFormat="false" ht="13.8" hidden="false" customHeight="false" outlineLevel="0" collapsed="false">
      <c r="A232" s="3" t="n">
        <v>231</v>
      </c>
      <c r="B232" s="3" t="s">
        <v>835</v>
      </c>
      <c r="C232" s="3" t="s">
        <v>105</v>
      </c>
      <c r="D232" s="3" t="s">
        <v>61</v>
      </c>
      <c r="E232" s="25" t="s">
        <v>878</v>
      </c>
      <c r="F232" s="3"/>
      <c r="G232" s="3"/>
      <c r="K232" s="13" t="str">
        <f aca="false">_xlfn.IFS(F232="","", F232=C232,1, F232&lt;&gt;C232,0)</f>
        <v/>
      </c>
      <c r="L232" s="13" t="str">
        <f aca="false">_xlfn.IFS(G232="","", G232=D232,1, G232&lt;&gt;D232,0)</f>
        <v/>
      </c>
    </row>
    <row r="233" customFormat="false" ht="13.8" hidden="false" customHeight="false" outlineLevel="0" collapsed="false">
      <c r="A233" s="3" t="n">
        <v>232</v>
      </c>
      <c r="B233" s="3" t="s">
        <v>402</v>
      </c>
      <c r="C233" s="3" t="s">
        <v>105</v>
      </c>
      <c r="D233" s="3" t="s">
        <v>61</v>
      </c>
      <c r="E233" s="25" t="s">
        <v>874</v>
      </c>
      <c r="F233" s="3" t="s">
        <v>105</v>
      </c>
      <c r="G233" s="3" t="s">
        <v>61</v>
      </c>
      <c r="K233" s="13" t="n">
        <f aca="false">_xlfn.IFS(F233="","", F233=C233,1, F233&lt;&gt;C233,0)</f>
        <v>1</v>
      </c>
      <c r="L233" s="13" t="n">
        <f aca="false">_xlfn.IFS(G233="","", G233=D233,1, G233&lt;&gt;D233,0)</f>
        <v>1</v>
      </c>
    </row>
    <row r="234" customFormat="false" ht="13.8" hidden="false" customHeight="false" outlineLevel="0" collapsed="false">
      <c r="A234" s="3" t="n">
        <v>233</v>
      </c>
      <c r="B234" s="3" t="s">
        <v>811</v>
      </c>
      <c r="C234" s="3" t="s">
        <v>105</v>
      </c>
      <c r="D234" s="3" t="s">
        <v>61</v>
      </c>
      <c r="E234" s="25" t="s">
        <v>877</v>
      </c>
      <c r="F234" s="3" t="s">
        <v>879</v>
      </c>
      <c r="G234" s="3"/>
      <c r="K234" s="13" t="n">
        <f aca="false">_xlfn.IFS(F234="","", F234=C234,1, F234&lt;&gt;C234,0)</f>
        <v>0</v>
      </c>
      <c r="L234" s="13" t="str">
        <f aca="false">_xlfn.IFS(G234="","", G234=D234,1, G234&lt;&gt;D234,0)</f>
        <v/>
      </c>
    </row>
    <row r="235" customFormat="false" ht="13.8" hidden="false" customHeight="false" outlineLevel="0" collapsed="false">
      <c r="A235" s="3" t="n">
        <v>234</v>
      </c>
      <c r="B235" s="3" t="s">
        <v>507</v>
      </c>
      <c r="C235" s="3" t="s">
        <v>105</v>
      </c>
      <c r="D235" s="3" t="s">
        <v>61</v>
      </c>
      <c r="E235" s="25" t="s">
        <v>874</v>
      </c>
      <c r="F235" s="3" t="s">
        <v>105</v>
      </c>
      <c r="G235" s="3"/>
      <c r="K235" s="13" t="n">
        <f aca="false">_xlfn.IFS(F235="","", F235=C235,1, F235&lt;&gt;C235,0)</f>
        <v>1</v>
      </c>
      <c r="L235" s="13" t="str">
        <f aca="false">_xlfn.IFS(G235="","", G235=D235,1, G235&lt;&gt;D235,0)</f>
        <v/>
      </c>
    </row>
    <row r="236" customFormat="false" ht="13.8" hidden="false" customHeight="false" outlineLevel="0" collapsed="false">
      <c r="A236" s="3" t="n">
        <v>235</v>
      </c>
      <c r="B236" s="3" t="s">
        <v>813</v>
      </c>
      <c r="C236" s="3" t="s">
        <v>105</v>
      </c>
      <c r="D236" s="3" t="s">
        <v>61</v>
      </c>
      <c r="E236" s="25" t="s">
        <v>874</v>
      </c>
      <c r="F236" s="3" t="s">
        <v>105</v>
      </c>
      <c r="G236" s="3" t="s">
        <v>61</v>
      </c>
      <c r="K236" s="13" t="n">
        <f aca="false">_xlfn.IFS(F236="","", F236=C236,1, F236&lt;&gt;C236,0)</f>
        <v>1</v>
      </c>
      <c r="L236" s="13" t="n">
        <f aca="false">_xlfn.IFS(G236="","", G236=D236,1, G236&lt;&gt;D236,0)</f>
        <v>1</v>
      </c>
    </row>
    <row r="237" customFormat="false" ht="13.8" hidden="false" customHeight="false" outlineLevel="0" collapsed="false">
      <c r="A237" s="3" t="n">
        <v>236</v>
      </c>
      <c r="B237" s="3" t="s">
        <v>747</v>
      </c>
      <c r="C237" s="3" t="s">
        <v>105</v>
      </c>
      <c r="D237" s="3" t="s">
        <v>61</v>
      </c>
      <c r="E237" s="25" t="s">
        <v>874</v>
      </c>
      <c r="F237" s="3" t="s">
        <v>105</v>
      </c>
      <c r="G237" s="3" t="s">
        <v>61</v>
      </c>
      <c r="K237" s="13" t="n">
        <f aca="false">_xlfn.IFS(F237="","", F237=C237,1, F237&lt;&gt;C237,0)</f>
        <v>1</v>
      </c>
      <c r="L237" s="13" t="n">
        <f aca="false">_xlfn.IFS(G237="","", G237=D237,1, G237&lt;&gt;D237,0)</f>
        <v>1</v>
      </c>
    </row>
    <row r="238" customFormat="false" ht="13.8" hidden="false" customHeight="false" outlineLevel="0" collapsed="false">
      <c r="A238" s="3" t="n">
        <v>237</v>
      </c>
      <c r="B238" s="3" t="s">
        <v>667</v>
      </c>
      <c r="C238" s="3" t="s">
        <v>143</v>
      </c>
      <c r="D238" s="3" t="s">
        <v>288</v>
      </c>
      <c r="E238" s="25" t="s">
        <v>874</v>
      </c>
      <c r="F238" s="3" t="s">
        <v>105</v>
      </c>
      <c r="G238" s="3" t="s">
        <v>55</v>
      </c>
      <c r="K238" s="13" t="n">
        <f aca="false">_xlfn.IFS(F238="","", F238=C238,1, F238&lt;&gt;C238,0)</f>
        <v>0</v>
      </c>
      <c r="L238" s="13" t="n">
        <f aca="false">_xlfn.IFS(G238="","", G238=D238,1, G238&lt;&gt;D238,0)</f>
        <v>0</v>
      </c>
    </row>
    <row r="239" customFormat="false" ht="13.8" hidden="false" customHeight="false" outlineLevel="0" collapsed="false">
      <c r="A239" s="3" t="n">
        <v>238</v>
      </c>
      <c r="B239" s="3" t="s">
        <v>337</v>
      </c>
      <c r="C239" s="3" t="s">
        <v>105</v>
      </c>
      <c r="D239" s="3" t="s">
        <v>61</v>
      </c>
      <c r="E239" s="25" t="s">
        <v>877</v>
      </c>
      <c r="F239" s="3" t="s">
        <v>879</v>
      </c>
      <c r="G239" s="3"/>
      <c r="K239" s="13" t="n">
        <f aca="false">_xlfn.IFS(F239="","", F239=C239,1, F239&lt;&gt;C239,0)</f>
        <v>0</v>
      </c>
      <c r="L239" s="13" t="str">
        <f aca="false">_xlfn.IFS(G239="","", G239=D239,1, G239&lt;&gt;D239,0)</f>
        <v/>
      </c>
    </row>
    <row r="240" customFormat="false" ht="13.8" hidden="false" customHeight="false" outlineLevel="0" collapsed="false">
      <c r="A240" s="3" t="n">
        <v>239</v>
      </c>
      <c r="B240" s="3" t="s">
        <v>655</v>
      </c>
      <c r="C240" s="3" t="s">
        <v>105</v>
      </c>
      <c r="D240" s="3" t="s">
        <v>61</v>
      </c>
      <c r="E240" s="25" t="s">
        <v>878</v>
      </c>
      <c r="F240" s="3"/>
      <c r="G240" s="3"/>
      <c r="K240" s="13" t="str">
        <f aca="false">_xlfn.IFS(F240="","", F240=C240,1, F240&lt;&gt;C240,0)</f>
        <v/>
      </c>
      <c r="L240" s="13" t="str">
        <f aca="false">_xlfn.IFS(G240="","", G240=D240,1, G240&lt;&gt;D240,0)</f>
        <v/>
      </c>
    </row>
    <row r="241" customFormat="false" ht="13.8" hidden="false" customHeight="false" outlineLevel="0" collapsed="false">
      <c r="A241" s="3" t="n">
        <v>240</v>
      </c>
      <c r="B241" s="3" t="s">
        <v>416</v>
      </c>
      <c r="C241" s="3" t="s">
        <v>105</v>
      </c>
      <c r="D241" s="3" t="s">
        <v>61</v>
      </c>
      <c r="E241" s="25" t="s">
        <v>878</v>
      </c>
      <c r="F241" s="3"/>
      <c r="G241" s="3"/>
      <c r="K241" s="13" t="str">
        <f aca="false">_xlfn.IFS(F241="","", F241=C241,1, F241&lt;&gt;C241,0)</f>
        <v/>
      </c>
      <c r="L241" s="13" t="str">
        <f aca="false">_xlfn.IFS(G241="","", G241=D241,1, G241&lt;&gt;D241,0)</f>
        <v/>
      </c>
    </row>
    <row r="242" customFormat="false" ht="13.8" hidden="false" customHeight="false" outlineLevel="0" collapsed="false">
      <c r="A242" s="3" t="n">
        <v>241</v>
      </c>
      <c r="B242" s="3" t="s">
        <v>466</v>
      </c>
      <c r="C242" s="3" t="s">
        <v>143</v>
      </c>
      <c r="D242" s="3" t="s">
        <v>198</v>
      </c>
      <c r="E242" s="25" t="s">
        <v>874</v>
      </c>
      <c r="F242" s="3" t="s">
        <v>105</v>
      </c>
      <c r="G242" s="3" t="s">
        <v>61</v>
      </c>
      <c r="K242" s="13" t="n">
        <f aca="false">_xlfn.IFS(F242="","", F242=C242,1, F242&lt;&gt;C242,0)</f>
        <v>0</v>
      </c>
      <c r="L242" s="13" t="n">
        <f aca="false">_xlfn.IFS(G242="","", G242=D242,1, G242&lt;&gt;D242,0)</f>
        <v>0</v>
      </c>
    </row>
    <row r="243" customFormat="false" ht="13.8" hidden="false" customHeight="false" outlineLevel="0" collapsed="false">
      <c r="A243" s="3" t="n">
        <v>242</v>
      </c>
      <c r="B243" s="3" t="s">
        <v>618</v>
      </c>
      <c r="C243" s="3" t="s">
        <v>105</v>
      </c>
      <c r="D243" s="3" t="s">
        <v>61</v>
      </c>
      <c r="E243" s="25" t="s">
        <v>877</v>
      </c>
      <c r="F243" s="3" t="s">
        <v>879</v>
      </c>
      <c r="G243" s="3"/>
      <c r="K243" s="13" t="n">
        <f aca="false">_xlfn.IFS(F243="","", F243=C243,1, F243&lt;&gt;C243,0)</f>
        <v>0</v>
      </c>
      <c r="L243" s="13" t="str">
        <f aca="false">_xlfn.IFS(G243="","", G243=D243,1, G243&lt;&gt;D243,0)</f>
        <v/>
      </c>
    </row>
    <row r="244" customFormat="false" ht="13.8" hidden="false" customHeight="false" outlineLevel="0" collapsed="false">
      <c r="A244" s="3" t="n">
        <v>243</v>
      </c>
      <c r="B244" s="3" t="s">
        <v>547</v>
      </c>
      <c r="C244" s="3" t="s">
        <v>105</v>
      </c>
      <c r="D244" s="3" t="s">
        <v>61</v>
      </c>
      <c r="E244" s="25" t="s">
        <v>877</v>
      </c>
      <c r="F244" s="3" t="s">
        <v>150</v>
      </c>
      <c r="G244" s="3" t="s">
        <v>63</v>
      </c>
      <c r="K244" s="13" t="n">
        <f aca="false">_xlfn.IFS(F244="","", F244=C244,1, F244&lt;&gt;C244,0)</f>
        <v>0</v>
      </c>
      <c r="L244" s="13" t="n">
        <f aca="false">_xlfn.IFS(G244="","", G244=D244,1, G244&lt;&gt;D244,0)</f>
        <v>0</v>
      </c>
    </row>
    <row r="245" customFormat="false" ht="13.8" hidden="false" customHeight="false" outlineLevel="0" collapsed="false">
      <c r="A245" s="3" t="n">
        <v>244</v>
      </c>
      <c r="B245" s="3" t="s">
        <v>469</v>
      </c>
      <c r="C245" s="3" t="s">
        <v>105</v>
      </c>
      <c r="D245" s="3" t="s">
        <v>61</v>
      </c>
      <c r="E245" s="25" t="s">
        <v>874</v>
      </c>
      <c r="F245" s="3" t="s">
        <v>105</v>
      </c>
      <c r="G245" s="3" t="s">
        <v>61</v>
      </c>
      <c r="K245" s="13" t="n">
        <f aca="false">_xlfn.IFS(F245="","", F245=C245,1, F245&lt;&gt;C245,0)</f>
        <v>1</v>
      </c>
      <c r="L245" s="13" t="n">
        <f aca="false">_xlfn.IFS(G245="","", G245=D245,1, G245&lt;&gt;D245,0)</f>
        <v>1</v>
      </c>
    </row>
    <row r="246" customFormat="false" ht="13.8" hidden="false" customHeight="false" outlineLevel="0" collapsed="false">
      <c r="A246" s="3" t="n">
        <v>245</v>
      </c>
      <c r="B246" s="3" t="s">
        <v>832</v>
      </c>
      <c r="C246" s="3" t="s">
        <v>105</v>
      </c>
      <c r="D246" s="3" t="s">
        <v>61</v>
      </c>
      <c r="E246" s="25" t="s">
        <v>877</v>
      </c>
      <c r="F246" s="3" t="s">
        <v>879</v>
      </c>
      <c r="G246" s="3"/>
      <c r="K246" s="13" t="n">
        <f aca="false">_xlfn.IFS(F246="","", F246=C246,1, F246&lt;&gt;C246,0)</f>
        <v>0</v>
      </c>
      <c r="L246" s="13" t="str">
        <f aca="false">_xlfn.IFS(G246="","", G246=D246,1, G246&lt;&gt;D246,0)</f>
        <v/>
      </c>
    </row>
    <row r="247" customFormat="false" ht="13.8" hidden="false" customHeight="false" outlineLevel="0" collapsed="false">
      <c r="A247" s="3" t="n">
        <v>246</v>
      </c>
      <c r="B247" s="3" t="s">
        <v>407</v>
      </c>
      <c r="C247" s="3" t="s">
        <v>105</v>
      </c>
      <c r="D247" s="3" t="s">
        <v>61</v>
      </c>
      <c r="E247" s="25" t="s">
        <v>877</v>
      </c>
      <c r="F247" s="3" t="s">
        <v>150</v>
      </c>
      <c r="G247" s="3" t="s">
        <v>883</v>
      </c>
      <c r="K247" s="13" t="n">
        <f aca="false">_xlfn.IFS(F247="","", F247=C247,1, F247&lt;&gt;C247,0)</f>
        <v>0</v>
      </c>
      <c r="L247" s="13" t="n">
        <f aca="false">_xlfn.IFS(G247="","", G247=D247,1, G247&lt;&gt;D247,0)</f>
        <v>0</v>
      </c>
    </row>
    <row r="248" customFormat="false" ht="13.8" hidden="false" customHeight="false" outlineLevel="0" collapsed="false">
      <c r="A248" s="3" t="n">
        <v>247</v>
      </c>
      <c r="B248" s="3" t="s">
        <v>349</v>
      </c>
      <c r="C248" s="3" t="s">
        <v>143</v>
      </c>
      <c r="D248" s="3" t="s">
        <v>198</v>
      </c>
      <c r="E248" s="25" t="s">
        <v>874</v>
      </c>
      <c r="F248" s="3" t="s">
        <v>105</v>
      </c>
      <c r="G248" s="3" t="s">
        <v>61</v>
      </c>
      <c r="K248" s="13" t="n">
        <f aca="false">_xlfn.IFS(F248="","", F248=C248,1, F248&lt;&gt;C248,0)</f>
        <v>0</v>
      </c>
      <c r="L248" s="13" t="n">
        <f aca="false">_xlfn.IFS(G248="","", G248=D248,1, G248&lt;&gt;D248,0)</f>
        <v>0</v>
      </c>
    </row>
    <row r="249" customFormat="false" ht="13.8" hidden="false" customHeight="false" outlineLevel="0" collapsed="false">
      <c r="A249" s="3" t="n">
        <v>248</v>
      </c>
      <c r="B249" s="3" t="s">
        <v>519</v>
      </c>
      <c r="C249" s="3" t="s">
        <v>105</v>
      </c>
      <c r="D249" s="3" t="s">
        <v>61</v>
      </c>
      <c r="E249" s="25" t="s">
        <v>877</v>
      </c>
      <c r="F249" s="3" t="s">
        <v>150</v>
      </c>
      <c r="G249" s="3" t="s">
        <v>83</v>
      </c>
      <c r="K249" s="13" t="n">
        <f aca="false">_xlfn.IFS(F249="","", F249=C249,1, F249&lt;&gt;C249,0)</f>
        <v>0</v>
      </c>
      <c r="L249" s="13" t="n">
        <f aca="false">_xlfn.IFS(G249="","", G249=D249,1, G249&lt;&gt;D249,0)</f>
        <v>0</v>
      </c>
    </row>
    <row r="250" customFormat="false" ht="13.8" hidden="false" customHeight="false" outlineLevel="0" collapsed="false">
      <c r="A250" s="3" t="n">
        <v>249</v>
      </c>
      <c r="B250" s="3" t="s">
        <v>690</v>
      </c>
      <c r="C250" s="3" t="s">
        <v>105</v>
      </c>
      <c r="D250" s="3" t="s">
        <v>61</v>
      </c>
      <c r="E250" s="25" t="s">
        <v>877</v>
      </c>
      <c r="F250" s="3" t="s">
        <v>150</v>
      </c>
      <c r="G250" s="3" t="s">
        <v>83</v>
      </c>
      <c r="K250" s="13" t="n">
        <f aca="false">_xlfn.IFS(F250="","", F250=C250,1, F250&lt;&gt;C250,0)</f>
        <v>0</v>
      </c>
      <c r="L250" s="13" t="n">
        <f aca="false">_xlfn.IFS(G250="","", G250=D250,1, G250&lt;&gt;D250,0)</f>
        <v>0</v>
      </c>
    </row>
    <row r="251" customFormat="false" ht="13.8" hidden="false" customHeight="false" outlineLevel="0" collapsed="false">
      <c r="A251" s="3" t="n">
        <v>250</v>
      </c>
      <c r="B251" s="3" t="s">
        <v>375</v>
      </c>
      <c r="C251" s="3" t="s">
        <v>105</v>
      </c>
      <c r="D251" s="3" t="s">
        <v>61</v>
      </c>
      <c r="E251" s="25" t="s">
        <v>874</v>
      </c>
      <c r="F251" s="3" t="s">
        <v>105</v>
      </c>
      <c r="G251" s="3" t="s">
        <v>61</v>
      </c>
      <c r="K251" s="13" t="n">
        <f aca="false">_xlfn.IFS(F251="","", F251=C251,1, F251&lt;&gt;C251,0)</f>
        <v>1</v>
      </c>
      <c r="L251" s="13" t="n">
        <f aca="false">_xlfn.IFS(G251="","", G251=D251,1, G251&lt;&gt;D251,0)</f>
        <v>1</v>
      </c>
    </row>
    <row r="252" customFormat="false" ht="13.8" hidden="false" customHeight="false" outlineLevel="0" collapsed="false">
      <c r="A252" s="3" t="n">
        <v>251</v>
      </c>
      <c r="B252" s="3" t="s">
        <v>671</v>
      </c>
      <c r="C252" s="3" t="s">
        <v>143</v>
      </c>
      <c r="D252" s="3" t="s">
        <v>198</v>
      </c>
      <c r="E252" s="25" t="s">
        <v>878</v>
      </c>
      <c r="F252" s="3"/>
      <c r="G252" s="3"/>
      <c r="K252" s="13" t="str">
        <f aca="false">_xlfn.IFS(F252="","", F252=C252,1, F252&lt;&gt;C252,0)</f>
        <v/>
      </c>
      <c r="L252" s="13" t="str">
        <f aca="false">_xlfn.IFS(G252="","", G252=D252,1, G252&lt;&gt;D252,0)</f>
        <v/>
      </c>
    </row>
    <row r="253" customFormat="false" ht="13.8" hidden="false" customHeight="false" outlineLevel="0" collapsed="false">
      <c r="A253" s="3" t="n">
        <v>252</v>
      </c>
      <c r="B253" s="3" t="s">
        <v>778</v>
      </c>
      <c r="C253" s="3" t="s">
        <v>105</v>
      </c>
      <c r="D253" s="3" t="s">
        <v>61</v>
      </c>
      <c r="E253" s="25" t="s">
        <v>877</v>
      </c>
      <c r="F253" s="3" t="s">
        <v>879</v>
      </c>
      <c r="G253" s="3"/>
      <c r="K253" s="13" t="n">
        <f aca="false">_xlfn.IFS(F253="","", F253=C253,1, F253&lt;&gt;C253,0)</f>
        <v>0</v>
      </c>
      <c r="L253" s="13" t="str">
        <f aca="false">_xlfn.IFS(G253="","", G253=D253,1, G253&lt;&gt;D253,0)</f>
        <v/>
      </c>
    </row>
    <row r="254" customFormat="false" ht="13.8" hidden="false" customHeight="false" outlineLevel="0" collapsed="false">
      <c r="A254" s="3" t="n">
        <v>253</v>
      </c>
      <c r="B254" s="3" t="s">
        <v>399</v>
      </c>
      <c r="C254" s="3" t="s">
        <v>143</v>
      </c>
      <c r="D254" s="3" t="s">
        <v>288</v>
      </c>
      <c r="E254" s="25" t="s">
        <v>877</v>
      </c>
      <c r="F254" s="3" t="s">
        <v>150</v>
      </c>
      <c r="G254" s="3" t="s">
        <v>883</v>
      </c>
      <c r="K254" s="13" t="n">
        <f aca="false">_xlfn.IFS(F254="","", F254=C254,1, F254&lt;&gt;C254,0)</f>
        <v>0</v>
      </c>
      <c r="L254" s="13" t="n">
        <f aca="false">_xlfn.IFS(G254="","", G254=D254,1, G254&lt;&gt;D254,0)</f>
        <v>0</v>
      </c>
    </row>
    <row r="255" customFormat="false" ht="13.8" hidden="false" customHeight="false" outlineLevel="0" collapsed="false">
      <c r="A255" s="3" t="n">
        <v>254</v>
      </c>
      <c r="B255" s="3" t="s">
        <v>460</v>
      </c>
      <c r="C255" s="3" t="s">
        <v>143</v>
      </c>
      <c r="D255" s="3" t="s">
        <v>288</v>
      </c>
      <c r="E255" s="25" t="s">
        <v>874</v>
      </c>
      <c r="F255" s="3" t="s">
        <v>105</v>
      </c>
      <c r="G255" s="3" t="s">
        <v>61</v>
      </c>
      <c r="K255" s="13" t="n">
        <f aca="false">_xlfn.IFS(F255="","", F255=C255,1, F255&lt;&gt;C255,0)</f>
        <v>0</v>
      </c>
      <c r="L255" s="13" t="n">
        <f aca="false">_xlfn.IFS(G255="","", G255=D255,1, G255&lt;&gt;D255,0)</f>
        <v>0</v>
      </c>
    </row>
    <row r="256" customFormat="false" ht="13.8" hidden="false" customHeight="false" outlineLevel="0" collapsed="false">
      <c r="A256" s="3" t="n">
        <v>255</v>
      </c>
      <c r="B256" s="3" t="s">
        <v>657</v>
      </c>
      <c r="C256" s="3" t="s">
        <v>105</v>
      </c>
      <c r="D256" s="3" t="s">
        <v>61</v>
      </c>
      <c r="E256" s="25" t="s">
        <v>874</v>
      </c>
      <c r="F256" s="3" t="s">
        <v>105</v>
      </c>
      <c r="G256" s="3" t="s">
        <v>61</v>
      </c>
      <c r="K256" s="13" t="n">
        <f aca="false">_xlfn.IFS(F256="","", F256=C256,1, F256&lt;&gt;C256,0)</f>
        <v>1</v>
      </c>
      <c r="L256" s="13" t="n">
        <f aca="false">_xlfn.IFS(G256="","", G256=D256,1, G256&lt;&gt;D256,0)</f>
        <v>1</v>
      </c>
    </row>
    <row r="257" customFormat="false" ht="13.8" hidden="false" customHeight="false" outlineLevel="0" collapsed="false">
      <c r="A257" s="3" t="n">
        <v>256</v>
      </c>
      <c r="B257" s="3" t="s">
        <v>610</v>
      </c>
      <c r="C257" s="3" t="s">
        <v>105</v>
      </c>
      <c r="D257" s="3" t="s">
        <v>61</v>
      </c>
      <c r="E257" s="25" t="s">
        <v>877</v>
      </c>
      <c r="F257" s="3" t="s">
        <v>879</v>
      </c>
      <c r="G257" s="3"/>
      <c r="K257" s="13" t="n">
        <f aca="false">_xlfn.IFS(F257="","", F257=C257,1, F257&lt;&gt;C257,0)</f>
        <v>0</v>
      </c>
      <c r="L257" s="13" t="str">
        <f aca="false">_xlfn.IFS(G257="","", G257=D257,1, G257&lt;&gt;D257,0)</f>
        <v/>
      </c>
    </row>
    <row r="258" customFormat="false" ht="13.8" hidden="false" customHeight="false" outlineLevel="0" collapsed="false">
      <c r="A258" s="3" t="n">
        <v>257</v>
      </c>
      <c r="B258" s="3" t="s">
        <v>536</v>
      </c>
      <c r="C258" s="3" t="s">
        <v>105</v>
      </c>
      <c r="D258" s="3" t="s">
        <v>61</v>
      </c>
      <c r="E258" s="25" t="s">
        <v>874</v>
      </c>
      <c r="F258" s="3" t="s">
        <v>105</v>
      </c>
      <c r="G258" s="3" t="s">
        <v>61</v>
      </c>
      <c r="K258" s="13" t="n">
        <f aca="false">_xlfn.IFS(F258="","", F258=C258,1, F258&lt;&gt;C258,0)</f>
        <v>1</v>
      </c>
      <c r="L258" s="13" t="n">
        <f aca="false">_xlfn.IFS(G258="","", G258=D258,1, G258&lt;&gt;D258,0)</f>
        <v>1</v>
      </c>
    </row>
    <row r="259" customFormat="false" ht="13.8" hidden="false" customHeight="false" outlineLevel="0" collapsed="false">
      <c r="A259" s="3" t="n">
        <v>258</v>
      </c>
      <c r="B259" s="3" t="s">
        <v>362</v>
      </c>
      <c r="C259" s="3" t="s">
        <v>105</v>
      </c>
      <c r="D259" s="3" t="s">
        <v>61</v>
      </c>
      <c r="E259" s="25" t="s">
        <v>877</v>
      </c>
      <c r="F259" s="3" t="s">
        <v>879</v>
      </c>
      <c r="G259" s="3"/>
      <c r="K259" s="13" t="n">
        <f aca="false">_xlfn.IFS(F259="","", F259=C259,1, F259&lt;&gt;C259,0)</f>
        <v>0</v>
      </c>
      <c r="L259" s="13" t="str">
        <f aca="false">_xlfn.IFS(G259="","", G259=D259,1, G259&lt;&gt;D259,0)</f>
        <v/>
      </c>
    </row>
    <row r="260" customFormat="false" ht="13.8" hidden="false" customHeight="false" outlineLevel="0" collapsed="false">
      <c r="A260" s="3" t="n">
        <v>259</v>
      </c>
      <c r="B260" s="3" t="s">
        <v>649</v>
      </c>
      <c r="C260" s="3" t="s">
        <v>143</v>
      </c>
      <c r="D260" s="3" t="s">
        <v>351</v>
      </c>
      <c r="E260" s="25" t="s">
        <v>877</v>
      </c>
      <c r="F260" s="3" t="s">
        <v>150</v>
      </c>
      <c r="G260" s="3" t="s">
        <v>883</v>
      </c>
      <c r="K260" s="13" t="n">
        <f aca="false">_xlfn.IFS(F260="","", F260=C260,1, F260&lt;&gt;C260,0)</f>
        <v>0</v>
      </c>
      <c r="L260" s="13" t="n">
        <f aca="false">_xlfn.IFS(G260="","", G260=D260,1, G260&lt;&gt;D260,0)</f>
        <v>0</v>
      </c>
    </row>
    <row r="261" customFormat="false" ht="13.8" hidden="false" customHeight="false" outlineLevel="0" collapsed="false">
      <c r="A261" s="3" t="n">
        <v>260</v>
      </c>
      <c r="B261" s="3" t="s">
        <v>601</v>
      </c>
      <c r="C261" s="3" t="s">
        <v>105</v>
      </c>
      <c r="D261" s="3" t="s">
        <v>61</v>
      </c>
      <c r="E261" s="25" t="s">
        <v>878</v>
      </c>
      <c r="F261" s="3"/>
      <c r="G261" s="3"/>
      <c r="K261" s="13" t="str">
        <f aca="false">_xlfn.IFS(F261="","", F261=C261,1, F261&lt;&gt;C261,0)</f>
        <v/>
      </c>
      <c r="L261" s="13" t="str">
        <f aca="false">_xlfn.IFS(G261="","", G261=D261,1, G261&lt;&gt;D261,0)</f>
        <v/>
      </c>
    </row>
    <row r="262" customFormat="false" ht="13.8" hidden="false" customHeight="false" outlineLevel="0" collapsed="false">
      <c r="A262" s="3" t="n">
        <v>261</v>
      </c>
      <c r="B262" s="3" t="s">
        <v>535</v>
      </c>
      <c r="C262" s="3" t="s">
        <v>105</v>
      </c>
      <c r="D262" s="3" t="s">
        <v>55</v>
      </c>
      <c r="E262" s="25" t="s">
        <v>874</v>
      </c>
      <c r="F262" s="3" t="s">
        <v>105</v>
      </c>
      <c r="G262" s="3" t="s">
        <v>61</v>
      </c>
      <c r="K262" s="13" t="n">
        <f aca="false">_xlfn.IFS(F262="","", F262=C262,1, F262&lt;&gt;C262,0)</f>
        <v>1</v>
      </c>
      <c r="L262" s="13" t="n">
        <f aca="false">_xlfn.IFS(G262="","", G262=D262,1, G262&lt;&gt;D262,0)</f>
        <v>0</v>
      </c>
    </row>
    <row r="263" customFormat="false" ht="13.8" hidden="false" customHeight="false" outlineLevel="0" collapsed="false">
      <c r="A263" s="3" t="n">
        <v>262</v>
      </c>
      <c r="B263" s="3" t="s">
        <v>819</v>
      </c>
      <c r="C263" s="3" t="s">
        <v>143</v>
      </c>
      <c r="D263" s="3" t="s">
        <v>288</v>
      </c>
      <c r="E263" s="25" t="s">
        <v>874</v>
      </c>
      <c r="F263" s="3" t="s">
        <v>105</v>
      </c>
      <c r="G263" s="3" t="s">
        <v>61</v>
      </c>
      <c r="K263" s="13" t="n">
        <f aca="false">_xlfn.IFS(F263="","", F263=C263,1, F263&lt;&gt;C263,0)</f>
        <v>0</v>
      </c>
      <c r="L263" s="13" t="n">
        <f aca="false">_xlfn.IFS(G263="","", G263=D263,1, G263&lt;&gt;D263,0)</f>
        <v>0</v>
      </c>
    </row>
    <row r="264" customFormat="false" ht="13.8" hidden="false" customHeight="false" outlineLevel="0" collapsed="false">
      <c r="A264" s="3" t="n">
        <v>263</v>
      </c>
      <c r="B264" s="3" t="s">
        <v>318</v>
      </c>
      <c r="C264" s="3" t="s">
        <v>105</v>
      </c>
      <c r="D264" s="3" t="s">
        <v>77</v>
      </c>
      <c r="E264" s="25" t="s">
        <v>874</v>
      </c>
      <c r="F264" s="3" t="s">
        <v>105</v>
      </c>
      <c r="G264" s="3" t="s">
        <v>61</v>
      </c>
      <c r="K264" s="13" t="n">
        <f aca="false">_xlfn.IFS(F264="","", F264=C264,1, F264&lt;&gt;C264,0)</f>
        <v>1</v>
      </c>
      <c r="L264" s="13" t="n">
        <f aca="false">_xlfn.IFS(G264="","", G264=D264,1, G264&lt;&gt;D264,0)</f>
        <v>0</v>
      </c>
    </row>
    <row r="265" customFormat="false" ht="13.8" hidden="false" customHeight="false" outlineLevel="0" collapsed="false">
      <c r="A265" s="3" t="n">
        <v>264</v>
      </c>
      <c r="B265" s="3" t="s">
        <v>390</v>
      </c>
      <c r="C265" s="3" t="s">
        <v>105</v>
      </c>
      <c r="D265" s="3" t="s">
        <v>61</v>
      </c>
      <c r="E265" s="25" t="s">
        <v>874</v>
      </c>
      <c r="F265" s="3" t="s">
        <v>105</v>
      </c>
      <c r="G265" s="3" t="s">
        <v>61</v>
      </c>
      <c r="K265" s="13" t="n">
        <f aca="false">_xlfn.IFS(F265="","", F265=C265,1, F265&lt;&gt;C265,0)</f>
        <v>1</v>
      </c>
      <c r="L265" s="13" t="n">
        <f aca="false">_xlfn.IFS(G265="","", G265=D265,1, G265&lt;&gt;D265,0)</f>
        <v>1</v>
      </c>
    </row>
    <row r="266" customFormat="false" ht="13.8" hidden="false" customHeight="false" outlineLevel="0" collapsed="false">
      <c r="A266" s="3" t="n">
        <v>265</v>
      </c>
      <c r="B266" s="3" t="s">
        <v>556</v>
      </c>
      <c r="C266" s="3" t="s">
        <v>105</v>
      </c>
      <c r="D266" s="3" t="s">
        <v>61</v>
      </c>
      <c r="E266" s="25" t="s">
        <v>877</v>
      </c>
      <c r="F266" s="3" t="s">
        <v>879</v>
      </c>
      <c r="G266" s="3"/>
      <c r="K266" s="13" t="n">
        <f aca="false">_xlfn.IFS(F266="","", F266=C266,1, F266&lt;&gt;C266,0)</f>
        <v>0</v>
      </c>
      <c r="L266" s="13" t="str">
        <f aca="false">_xlfn.IFS(G266="","", G266=D266,1, G266&lt;&gt;D266,0)</f>
        <v/>
      </c>
    </row>
    <row r="267" customFormat="false" ht="13.8" hidden="false" customHeight="false" outlineLevel="0" collapsed="false">
      <c r="A267" s="3" t="n">
        <v>266</v>
      </c>
      <c r="B267" s="3" t="s">
        <v>554</v>
      </c>
      <c r="C267" s="3" t="s">
        <v>105</v>
      </c>
      <c r="D267" s="3" t="s">
        <v>77</v>
      </c>
      <c r="E267" s="25" t="s">
        <v>874</v>
      </c>
      <c r="F267" s="3" t="s">
        <v>105</v>
      </c>
      <c r="G267" s="3"/>
      <c r="K267" s="13" t="n">
        <f aca="false">_xlfn.IFS(F267="","", F267=C267,1, F267&lt;&gt;C267,0)</f>
        <v>1</v>
      </c>
      <c r="L267" s="13" t="str">
        <f aca="false">_xlfn.IFS(G267="","", G267=D267,1, G267&lt;&gt;D267,0)</f>
        <v/>
      </c>
    </row>
    <row r="268" customFormat="false" ht="13.8" hidden="false" customHeight="false" outlineLevel="0" collapsed="false">
      <c r="A268" s="3" t="n">
        <v>267</v>
      </c>
      <c r="B268" s="3" t="s">
        <v>793</v>
      </c>
      <c r="C268" s="3" t="s">
        <v>105</v>
      </c>
      <c r="D268" s="3" t="s">
        <v>61</v>
      </c>
      <c r="E268" s="25" t="s">
        <v>878</v>
      </c>
      <c r="F268" s="3"/>
      <c r="G268" s="3"/>
      <c r="K268" s="13" t="str">
        <f aca="false">_xlfn.IFS(F268="","", F268=C268,1, F268&lt;&gt;C268,0)</f>
        <v/>
      </c>
      <c r="L268" s="13" t="str">
        <f aca="false">_xlfn.IFS(G268="","", G268=D268,1, G268&lt;&gt;D268,0)</f>
        <v/>
      </c>
    </row>
    <row r="269" customFormat="false" ht="13.8" hidden="false" customHeight="false" outlineLevel="0" collapsed="false">
      <c r="A269" s="3" t="n">
        <v>268</v>
      </c>
      <c r="B269" s="3" t="s">
        <v>408</v>
      </c>
      <c r="C269" s="3" t="s">
        <v>105</v>
      </c>
      <c r="D269" s="3" t="s">
        <v>61</v>
      </c>
      <c r="E269" s="25" t="s">
        <v>874</v>
      </c>
      <c r="F269" s="3" t="s">
        <v>105</v>
      </c>
      <c r="G269" s="3" t="s">
        <v>61</v>
      </c>
      <c r="K269" s="13" t="n">
        <f aca="false">_xlfn.IFS(F269="","", F269=C269,1, F269&lt;&gt;C269,0)</f>
        <v>1</v>
      </c>
      <c r="L269" s="13" t="n">
        <f aca="false">_xlfn.IFS(G269="","", G269=D269,1, G269&lt;&gt;D269,0)</f>
        <v>1</v>
      </c>
    </row>
    <row r="270" customFormat="false" ht="13.8" hidden="false" customHeight="false" outlineLevel="0" collapsed="false">
      <c r="A270" s="3" t="n">
        <v>269</v>
      </c>
      <c r="B270" s="3" t="s">
        <v>286</v>
      </c>
      <c r="C270" s="3" t="s">
        <v>105</v>
      </c>
      <c r="D270" s="3" t="s">
        <v>61</v>
      </c>
      <c r="E270" s="25" t="s">
        <v>874</v>
      </c>
      <c r="F270" s="3" t="s">
        <v>105</v>
      </c>
      <c r="G270" s="3" t="s">
        <v>61</v>
      </c>
      <c r="K270" s="13" t="n">
        <f aca="false">_xlfn.IFS(F270="","", F270=C270,1, F270&lt;&gt;C270,0)</f>
        <v>1</v>
      </c>
      <c r="L270" s="13" t="n">
        <f aca="false">_xlfn.IFS(G270="","", G270=D270,1, G270&lt;&gt;D270,0)</f>
        <v>1</v>
      </c>
    </row>
    <row r="271" customFormat="false" ht="13.8" hidden="false" customHeight="false" outlineLevel="0" collapsed="false">
      <c r="A271" s="3" t="n">
        <v>270</v>
      </c>
      <c r="B271" s="3" t="s">
        <v>682</v>
      </c>
      <c r="C271" s="3" t="s">
        <v>105</v>
      </c>
      <c r="D271" s="3" t="s">
        <v>77</v>
      </c>
      <c r="E271" s="25" t="s">
        <v>877</v>
      </c>
      <c r="F271" s="3" t="s">
        <v>879</v>
      </c>
      <c r="G271" s="3"/>
      <c r="K271" s="13" t="n">
        <f aca="false">_xlfn.IFS(F271="","", F271=C271,1, F271&lt;&gt;C271,0)</f>
        <v>0</v>
      </c>
      <c r="L271" s="13" t="str">
        <f aca="false">_xlfn.IFS(G271="","", G271=D271,1, G271&lt;&gt;D271,0)</f>
        <v/>
      </c>
    </row>
    <row r="272" customFormat="false" ht="13.8" hidden="false" customHeight="false" outlineLevel="0" collapsed="false">
      <c r="A272" s="3" t="n">
        <v>271</v>
      </c>
      <c r="B272" s="3" t="s">
        <v>837</v>
      </c>
      <c r="C272" s="3" t="s">
        <v>105</v>
      </c>
      <c r="D272" s="3" t="s">
        <v>61</v>
      </c>
      <c r="E272" s="25" t="s">
        <v>878</v>
      </c>
      <c r="F272" s="3"/>
      <c r="G272" s="3"/>
      <c r="K272" s="13" t="str">
        <f aca="false">_xlfn.IFS(F272="","", F272=C272,1, F272&lt;&gt;C272,0)</f>
        <v/>
      </c>
      <c r="L272" s="13" t="str">
        <f aca="false">_xlfn.IFS(G272="","", G272=D272,1, G272&lt;&gt;D272,0)</f>
        <v/>
      </c>
    </row>
    <row r="273" customFormat="false" ht="13.8" hidden="false" customHeight="false" outlineLevel="0" collapsed="false">
      <c r="A273" s="3" t="n">
        <v>272</v>
      </c>
      <c r="B273" s="3" t="s">
        <v>494</v>
      </c>
      <c r="C273" s="3" t="s">
        <v>105</v>
      </c>
      <c r="D273" s="3" t="s">
        <v>61</v>
      </c>
      <c r="E273" s="25" t="s">
        <v>874</v>
      </c>
      <c r="F273" s="3" t="s">
        <v>105</v>
      </c>
      <c r="G273" s="3" t="s">
        <v>61</v>
      </c>
      <c r="K273" s="13" t="n">
        <f aca="false">_xlfn.IFS(F273="","", F273=C273,1, F273&lt;&gt;C273,0)</f>
        <v>1</v>
      </c>
      <c r="L273" s="13" t="n">
        <f aca="false">_xlfn.IFS(G273="","", G273=D273,1, G273&lt;&gt;D273,0)</f>
        <v>1</v>
      </c>
    </row>
    <row r="274" customFormat="false" ht="13.8" hidden="false" customHeight="false" outlineLevel="0" collapsed="false">
      <c r="A274" s="3" t="n">
        <v>273</v>
      </c>
      <c r="B274" s="3" t="s">
        <v>467</v>
      </c>
      <c r="C274" s="3" t="s">
        <v>143</v>
      </c>
      <c r="D274" s="3" t="s">
        <v>198</v>
      </c>
      <c r="E274" s="25" t="s">
        <v>874</v>
      </c>
      <c r="F274" s="3" t="s">
        <v>105</v>
      </c>
      <c r="G274" s="3" t="s">
        <v>61</v>
      </c>
      <c r="K274" s="13" t="n">
        <f aca="false">_xlfn.IFS(F274="","", F274=C274,1, F274&lt;&gt;C274,0)</f>
        <v>0</v>
      </c>
      <c r="L274" s="13" t="n">
        <f aca="false">_xlfn.IFS(G274="","", G274=D274,1, G274&lt;&gt;D274,0)</f>
        <v>0</v>
      </c>
    </row>
    <row r="275" customFormat="false" ht="13.8" hidden="false" customHeight="false" outlineLevel="0" collapsed="false">
      <c r="A275" s="3" t="n">
        <v>274</v>
      </c>
      <c r="B275" s="3" t="s">
        <v>573</v>
      </c>
      <c r="C275" s="3" t="s">
        <v>105</v>
      </c>
      <c r="D275" s="3" t="s">
        <v>61</v>
      </c>
      <c r="E275" s="25" t="s">
        <v>877</v>
      </c>
      <c r="F275" s="3" t="s">
        <v>879</v>
      </c>
      <c r="G275" s="3"/>
      <c r="K275" s="13" t="n">
        <f aca="false">_xlfn.IFS(F275="","", F275=C275,1, F275&lt;&gt;C275,0)</f>
        <v>0</v>
      </c>
      <c r="L275" s="13" t="str">
        <f aca="false">_xlfn.IFS(G275="","", G275=D275,1, G275&lt;&gt;D275,0)</f>
        <v/>
      </c>
    </row>
    <row r="276" customFormat="false" ht="13.8" hidden="false" customHeight="false" outlineLevel="0" collapsed="false">
      <c r="A276" s="3" t="n">
        <v>275</v>
      </c>
      <c r="B276" s="3" t="s">
        <v>474</v>
      </c>
      <c r="C276" s="3" t="s">
        <v>105</v>
      </c>
      <c r="D276" s="3" t="s">
        <v>61</v>
      </c>
      <c r="E276" s="25" t="s">
        <v>877</v>
      </c>
      <c r="F276" s="3" t="s">
        <v>150</v>
      </c>
      <c r="G276" s="3" t="s">
        <v>883</v>
      </c>
      <c r="K276" s="13" t="n">
        <f aca="false">_xlfn.IFS(F276="","", F276=C276,1, F276&lt;&gt;C276,0)</f>
        <v>0</v>
      </c>
      <c r="L276" s="13" t="n">
        <f aca="false">_xlfn.IFS(G276="","", G276=D276,1, G276&lt;&gt;D276,0)</f>
        <v>0</v>
      </c>
    </row>
    <row r="277" customFormat="false" ht="13.8" hidden="false" customHeight="false" outlineLevel="0" collapsed="false">
      <c r="A277" s="3" t="n">
        <v>276</v>
      </c>
      <c r="B277" s="3" t="s">
        <v>338</v>
      </c>
      <c r="C277" s="3" t="s">
        <v>150</v>
      </c>
      <c r="D277" s="3" t="s">
        <v>339</v>
      </c>
      <c r="E277" s="25" t="s">
        <v>874</v>
      </c>
      <c r="F277" s="3" t="s">
        <v>105</v>
      </c>
      <c r="G277" s="3" t="s">
        <v>55</v>
      </c>
      <c r="K277" s="13" t="n">
        <f aca="false">_xlfn.IFS(F277="","", F277=C277,1, F277&lt;&gt;C277,0)</f>
        <v>0</v>
      </c>
      <c r="L277" s="13" t="n">
        <f aca="false">_xlfn.IFS(G277="","", G277=D277,1, G277&lt;&gt;D277,0)</f>
        <v>0</v>
      </c>
    </row>
    <row r="278" customFormat="false" ht="13.8" hidden="false" customHeight="false" outlineLevel="0" collapsed="false">
      <c r="A278" s="3" t="n">
        <v>277</v>
      </c>
      <c r="B278" s="3" t="s">
        <v>528</v>
      </c>
      <c r="C278" s="3" t="s">
        <v>105</v>
      </c>
      <c r="D278" s="3" t="s">
        <v>55</v>
      </c>
      <c r="E278" s="25" t="s">
        <v>877</v>
      </c>
      <c r="F278" s="3" t="s">
        <v>879</v>
      </c>
      <c r="G278" s="3"/>
      <c r="K278" s="13" t="n">
        <f aca="false">_xlfn.IFS(F278="","", F278=C278,1, F278&lt;&gt;C278,0)</f>
        <v>0</v>
      </c>
      <c r="L278" s="13" t="str">
        <f aca="false">_xlfn.IFS(G278="","", G278=D278,1, G278&lt;&gt;D278,0)</f>
        <v/>
      </c>
    </row>
    <row r="279" customFormat="false" ht="13.8" hidden="false" customHeight="false" outlineLevel="0" collapsed="false">
      <c r="A279" s="3" t="n">
        <v>278</v>
      </c>
      <c r="B279" s="3" t="s">
        <v>854</v>
      </c>
      <c r="C279" s="3" t="s">
        <v>105</v>
      </c>
      <c r="D279" s="3" t="s">
        <v>61</v>
      </c>
      <c r="E279" s="25" t="s">
        <v>877</v>
      </c>
      <c r="F279" s="3" t="s">
        <v>879</v>
      </c>
      <c r="G279" s="3"/>
      <c r="K279" s="13" t="n">
        <f aca="false">_xlfn.IFS(F279="","", F279=C279,1, F279&lt;&gt;C279,0)</f>
        <v>0</v>
      </c>
      <c r="L279" s="13" t="str">
        <f aca="false">_xlfn.IFS(G279="","", G279=D279,1, G279&lt;&gt;D279,0)</f>
        <v/>
      </c>
    </row>
    <row r="280" customFormat="false" ht="13.8" hidden="false" customHeight="false" outlineLevel="0" collapsed="false">
      <c r="A280" s="3" t="n">
        <v>279</v>
      </c>
      <c r="B280" s="3" t="s">
        <v>243</v>
      </c>
      <c r="C280" s="3" t="s">
        <v>105</v>
      </c>
      <c r="D280" s="3" t="s">
        <v>61</v>
      </c>
      <c r="E280" s="25" t="s">
        <v>874</v>
      </c>
      <c r="F280" s="3" t="s">
        <v>105</v>
      </c>
      <c r="G280" s="3" t="s">
        <v>61</v>
      </c>
      <c r="K280" s="13" t="n">
        <f aca="false">_xlfn.IFS(F280="","", F280=C280,1, F280&lt;&gt;C280,0)</f>
        <v>1</v>
      </c>
      <c r="L280" s="13" t="n">
        <f aca="false">_xlfn.IFS(G280="","", G280=D280,1, G280&lt;&gt;D280,0)</f>
        <v>1</v>
      </c>
    </row>
    <row r="281" customFormat="false" ht="13.8" hidden="false" customHeight="false" outlineLevel="0" collapsed="false">
      <c r="A281" s="3" t="n">
        <v>280</v>
      </c>
      <c r="B281" s="3" t="s">
        <v>442</v>
      </c>
      <c r="C281" s="3" t="s">
        <v>105</v>
      </c>
      <c r="D281" s="3" t="s">
        <v>61</v>
      </c>
      <c r="E281" s="25" t="s">
        <v>877</v>
      </c>
      <c r="F281" s="3" t="s">
        <v>150</v>
      </c>
      <c r="G281" s="3" t="s">
        <v>63</v>
      </c>
      <c r="K281" s="13" t="n">
        <f aca="false">_xlfn.IFS(F281="","", F281=C281,1, F281&lt;&gt;C281,0)</f>
        <v>0</v>
      </c>
      <c r="L281" s="13" t="n">
        <f aca="false">_xlfn.IFS(G281="","", G281=D281,1, G281&lt;&gt;D281,0)</f>
        <v>0</v>
      </c>
    </row>
    <row r="282" customFormat="false" ht="13.8" hidden="false" customHeight="false" outlineLevel="0" collapsed="false">
      <c r="A282" s="3" t="n">
        <v>281</v>
      </c>
      <c r="B282" s="3" t="s">
        <v>356</v>
      </c>
      <c r="C282" s="3" t="s">
        <v>105</v>
      </c>
      <c r="D282" s="3" t="s">
        <v>61</v>
      </c>
      <c r="E282" s="25" t="s">
        <v>877</v>
      </c>
      <c r="F282" s="3" t="s">
        <v>879</v>
      </c>
      <c r="G282" s="3"/>
      <c r="K282" s="13" t="n">
        <f aca="false">_xlfn.IFS(F282="","", F282=C282,1, F282&lt;&gt;C282,0)</f>
        <v>0</v>
      </c>
      <c r="L282" s="13" t="str">
        <f aca="false">_xlfn.IFS(G282="","", G282=D282,1, G282&lt;&gt;D282,0)</f>
        <v/>
      </c>
    </row>
    <row r="283" customFormat="false" ht="13.8" hidden="false" customHeight="false" outlineLevel="0" collapsed="false">
      <c r="A283" s="3" t="n">
        <v>282</v>
      </c>
      <c r="B283" s="3" t="s">
        <v>830</v>
      </c>
      <c r="C283" s="3" t="s">
        <v>105</v>
      </c>
      <c r="D283" s="3" t="s">
        <v>61</v>
      </c>
      <c r="E283" s="25" t="s">
        <v>874</v>
      </c>
      <c r="F283" s="3" t="s">
        <v>105</v>
      </c>
      <c r="G283" s="3" t="s">
        <v>61</v>
      </c>
      <c r="K283" s="13" t="n">
        <f aca="false">_xlfn.IFS(F283="","", F283=C283,1, F283&lt;&gt;C283,0)</f>
        <v>1</v>
      </c>
      <c r="L283" s="13" t="n">
        <f aca="false">_xlfn.IFS(G283="","", G283=D283,1, G283&lt;&gt;D283,0)</f>
        <v>1</v>
      </c>
    </row>
    <row r="284" customFormat="false" ht="13.8" hidden="false" customHeight="false" outlineLevel="0" collapsed="false">
      <c r="A284" s="3" t="n">
        <v>283</v>
      </c>
      <c r="B284" s="3" t="s">
        <v>644</v>
      </c>
      <c r="C284" s="3" t="s">
        <v>105</v>
      </c>
      <c r="D284" s="3" t="s">
        <v>61</v>
      </c>
      <c r="E284" s="25" t="s">
        <v>878</v>
      </c>
      <c r="F284" s="3"/>
      <c r="G284" s="3"/>
      <c r="K284" s="13" t="str">
        <f aca="false">_xlfn.IFS(F284="","", F284=C284,1, F284&lt;&gt;C284,0)</f>
        <v/>
      </c>
      <c r="L284" s="13" t="str">
        <f aca="false">_xlfn.IFS(G284="","", G284=D284,1, G284&lt;&gt;D284,0)</f>
        <v/>
      </c>
    </row>
    <row r="285" customFormat="false" ht="13.8" hidden="false" customHeight="false" outlineLevel="0" collapsed="false">
      <c r="A285" s="3" t="n">
        <v>284</v>
      </c>
      <c r="B285" s="3" t="s">
        <v>328</v>
      </c>
      <c r="C285" s="3" t="s">
        <v>105</v>
      </c>
      <c r="D285" s="3" t="s">
        <v>77</v>
      </c>
      <c r="E285" s="25" t="s">
        <v>877</v>
      </c>
      <c r="F285" s="3" t="s">
        <v>150</v>
      </c>
      <c r="G285" s="3" t="s">
        <v>884</v>
      </c>
      <c r="K285" s="13" t="n">
        <f aca="false">_xlfn.IFS(F285="","", F285=C285,1, F285&lt;&gt;C285,0)</f>
        <v>0</v>
      </c>
      <c r="L285" s="13" t="n">
        <f aca="false">_xlfn.IFS(G285="","", G285=D285,1, G285&lt;&gt;D285,0)</f>
        <v>0</v>
      </c>
    </row>
    <row r="286" customFormat="false" ht="13.8" hidden="false" customHeight="false" outlineLevel="0" collapsed="false">
      <c r="A286" s="3" t="n">
        <v>285</v>
      </c>
      <c r="B286" s="3" t="s">
        <v>287</v>
      </c>
      <c r="C286" s="3" t="s">
        <v>143</v>
      </c>
      <c r="D286" s="3" t="s">
        <v>288</v>
      </c>
      <c r="E286" s="25" t="s">
        <v>877</v>
      </c>
      <c r="F286" s="3" t="s">
        <v>879</v>
      </c>
      <c r="G286" s="3"/>
      <c r="K286" s="13" t="n">
        <f aca="false">_xlfn.IFS(F286="","", F286=C286,1, F286&lt;&gt;C286,0)</f>
        <v>0</v>
      </c>
      <c r="L286" s="13" t="str">
        <f aca="false">_xlfn.IFS(G286="","", G286=D286,1, G286&lt;&gt;D286,0)</f>
        <v/>
      </c>
    </row>
    <row r="287" customFormat="false" ht="13.8" hidden="false" customHeight="false" outlineLevel="0" collapsed="false">
      <c r="A287" s="3" t="n">
        <v>286</v>
      </c>
      <c r="B287" s="3" t="s">
        <v>461</v>
      </c>
      <c r="C287" s="3" t="s">
        <v>105</v>
      </c>
      <c r="D287" s="3" t="s">
        <v>61</v>
      </c>
      <c r="E287" s="25" t="s">
        <v>874</v>
      </c>
      <c r="F287" s="3" t="s">
        <v>105</v>
      </c>
      <c r="G287" s="3" t="s">
        <v>61</v>
      </c>
      <c r="K287" s="13" t="n">
        <f aca="false">_xlfn.IFS(F287="","", F287=C287,1, F287&lt;&gt;C287,0)</f>
        <v>1</v>
      </c>
      <c r="L287" s="13" t="n">
        <f aca="false">_xlfn.IFS(G287="","", G287=D287,1, G287&lt;&gt;D287,0)</f>
        <v>1</v>
      </c>
    </row>
    <row r="288" customFormat="false" ht="13.8" hidden="false" customHeight="false" outlineLevel="0" collapsed="false">
      <c r="A288" s="3" t="n">
        <v>287</v>
      </c>
      <c r="B288" s="3" t="s">
        <v>784</v>
      </c>
      <c r="C288" s="3" t="s">
        <v>105</v>
      </c>
      <c r="D288" s="3" t="s">
        <v>77</v>
      </c>
      <c r="E288" s="25" t="s">
        <v>874</v>
      </c>
      <c r="F288" s="3" t="s">
        <v>105</v>
      </c>
      <c r="G288" s="3" t="s">
        <v>61</v>
      </c>
      <c r="K288" s="13" t="n">
        <f aca="false">_xlfn.IFS(F288="","", F288=C288,1, F288&lt;&gt;C288,0)</f>
        <v>1</v>
      </c>
      <c r="L288" s="13" t="n">
        <f aca="false">_xlfn.IFS(G288="","", G288=D288,1, G288&lt;&gt;D288,0)</f>
        <v>0</v>
      </c>
    </row>
    <row r="289" customFormat="false" ht="13.8" hidden="false" customHeight="false" outlineLevel="0" collapsed="false">
      <c r="A289" s="3" t="n">
        <v>288</v>
      </c>
      <c r="B289" s="3" t="s">
        <v>726</v>
      </c>
      <c r="C289" s="3" t="s">
        <v>105</v>
      </c>
      <c r="D289" s="3" t="s">
        <v>61</v>
      </c>
      <c r="E289" s="25" t="s">
        <v>877</v>
      </c>
      <c r="F289" s="3" t="s">
        <v>150</v>
      </c>
      <c r="G289" s="3" t="s">
        <v>63</v>
      </c>
      <c r="K289" s="13" t="n">
        <f aca="false">_xlfn.IFS(F289="","", F289=C289,1, F289&lt;&gt;C289,0)</f>
        <v>0</v>
      </c>
      <c r="L289" s="13" t="n">
        <f aca="false">_xlfn.IFS(G289="","", G289=D289,1, G289&lt;&gt;D289,0)</f>
        <v>0</v>
      </c>
    </row>
    <row r="290" customFormat="false" ht="13.8" hidden="false" customHeight="false" outlineLevel="0" collapsed="false">
      <c r="A290" s="3" t="n">
        <v>289</v>
      </c>
      <c r="B290" s="3" t="s">
        <v>498</v>
      </c>
      <c r="C290" s="3" t="s">
        <v>105</v>
      </c>
      <c r="D290" s="3" t="s">
        <v>61</v>
      </c>
      <c r="E290" s="25" t="s">
        <v>877</v>
      </c>
      <c r="F290" s="3" t="s">
        <v>879</v>
      </c>
      <c r="G290" s="3"/>
      <c r="K290" s="13" t="n">
        <f aca="false">_xlfn.IFS(F290="","", F290=C290,1, F290&lt;&gt;C290,0)</f>
        <v>0</v>
      </c>
      <c r="L290" s="13" t="str">
        <f aca="false">_xlfn.IFS(G290="","", G290=D290,1, G290&lt;&gt;D290,0)</f>
        <v/>
      </c>
    </row>
    <row r="291" customFormat="false" ht="13.8" hidden="false" customHeight="false" outlineLevel="0" collapsed="false">
      <c r="A291" s="3" t="n">
        <v>290</v>
      </c>
      <c r="B291" s="3" t="s">
        <v>767</v>
      </c>
      <c r="C291" s="3" t="s">
        <v>105</v>
      </c>
      <c r="D291" s="3" t="s">
        <v>77</v>
      </c>
      <c r="E291" s="25" t="s">
        <v>877</v>
      </c>
      <c r="F291" s="3" t="s">
        <v>879</v>
      </c>
      <c r="G291" s="3"/>
      <c r="K291" s="13" t="n">
        <f aca="false">_xlfn.IFS(F291="","", F291=C291,1, F291&lt;&gt;C291,0)</f>
        <v>0</v>
      </c>
      <c r="L291" s="13" t="str">
        <f aca="false">_xlfn.IFS(G291="","", G291=D291,1, G291&lt;&gt;D291,0)</f>
        <v/>
      </c>
    </row>
    <row r="292" customFormat="false" ht="13.8" hidden="false" customHeight="false" outlineLevel="0" collapsed="false">
      <c r="A292" s="3" t="n">
        <v>291</v>
      </c>
      <c r="B292" s="3" t="s">
        <v>641</v>
      </c>
      <c r="C292" s="3" t="s">
        <v>105</v>
      </c>
      <c r="D292" s="3" t="s">
        <v>61</v>
      </c>
      <c r="E292" s="25" t="s">
        <v>877</v>
      </c>
      <c r="F292" s="3" t="s">
        <v>879</v>
      </c>
      <c r="G292" s="3"/>
      <c r="K292" s="13" t="n">
        <f aca="false">_xlfn.IFS(F292="","", F292=C292,1, F292&lt;&gt;C292,0)</f>
        <v>0</v>
      </c>
      <c r="L292" s="13" t="str">
        <f aca="false">_xlfn.IFS(G292="","", G292=D292,1, G292&lt;&gt;D292,0)</f>
        <v/>
      </c>
    </row>
    <row r="293" customFormat="false" ht="13.8" hidden="false" customHeight="false" outlineLevel="0" collapsed="false">
      <c r="A293" s="3" t="n">
        <v>292</v>
      </c>
      <c r="B293" s="3" t="s">
        <v>586</v>
      </c>
      <c r="C293" s="3" t="s">
        <v>105</v>
      </c>
      <c r="D293" s="3" t="s">
        <v>61</v>
      </c>
      <c r="E293" s="25" t="s">
        <v>878</v>
      </c>
      <c r="F293" s="3"/>
      <c r="G293" s="3"/>
      <c r="K293" s="13" t="str">
        <f aca="false">_xlfn.IFS(F293="","", F293=C293,1, F293&lt;&gt;C293,0)</f>
        <v/>
      </c>
      <c r="L293" s="13" t="str">
        <f aca="false">_xlfn.IFS(G293="","", G293=D293,1, G293&lt;&gt;D293,0)</f>
        <v/>
      </c>
    </row>
    <row r="294" customFormat="false" ht="13.8" hidden="false" customHeight="false" outlineLevel="0" collapsed="false">
      <c r="A294" s="3" t="n">
        <v>293</v>
      </c>
      <c r="B294" s="3" t="s">
        <v>815</v>
      </c>
      <c r="C294" s="3" t="s">
        <v>105</v>
      </c>
      <c r="D294" s="3" t="s">
        <v>77</v>
      </c>
      <c r="E294" s="25" t="s">
        <v>874</v>
      </c>
      <c r="F294" s="3" t="s">
        <v>105</v>
      </c>
      <c r="G294" s="3" t="s">
        <v>61</v>
      </c>
      <c r="K294" s="13" t="n">
        <f aca="false">_xlfn.IFS(F294="","", F294=C294,1, F294&lt;&gt;C294,0)</f>
        <v>1</v>
      </c>
      <c r="L294" s="13" t="n">
        <f aca="false">_xlfn.IFS(G294="","", G294=D294,1, G294&lt;&gt;D294,0)</f>
        <v>0</v>
      </c>
    </row>
    <row r="295" customFormat="false" ht="13.8" hidden="false" customHeight="false" outlineLevel="0" collapsed="false">
      <c r="A295" s="3" t="n">
        <v>294</v>
      </c>
      <c r="B295" s="3" t="s">
        <v>560</v>
      </c>
      <c r="C295" s="3" t="s">
        <v>105</v>
      </c>
      <c r="D295" s="3" t="s">
        <v>77</v>
      </c>
      <c r="E295" s="25" t="s">
        <v>874</v>
      </c>
      <c r="F295" s="3" t="s">
        <v>105</v>
      </c>
      <c r="G295" s="3" t="s">
        <v>61</v>
      </c>
      <c r="K295" s="13" t="n">
        <f aca="false">_xlfn.IFS(F295="","", F295=C295,1, F295&lt;&gt;C295,0)</f>
        <v>1</v>
      </c>
      <c r="L295" s="13" t="n">
        <f aca="false">_xlfn.IFS(G295="","", G295=D295,1, G295&lt;&gt;D295,0)</f>
        <v>0</v>
      </c>
    </row>
    <row r="296" customFormat="false" ht="13.8" hidden="false" customHeight="false" outlineLevel="0" collapsed="false">
      <c r="A296" s="3" t="n">
        <v>295</v>
      </c>
      <c r="B296" s="3" t="s">
        <v>805</v>
      </c>
      <c r="C296" s="3" t="s">
        <v>105</v>
      </c>
      <c r="D296" s="3" t="s">
        <v>61</v>
      </c>
      <c r="E296" s="25" t="s">
        <v>874</v>
      </c>
      <c r="F296" s="3" t="s">
        <v>105</v>
      </c>
      <c r="G296" s="3" t="s">
        <v>61</v>
      </c>
      <c r="K296" s="13" t="n">
        <f aca="false">_xlfn.IFS(F296="","", F296=C296,1, F296&lt;&gt;C296,0)</f>
        <v>1</v>
      </c>
      <c r="L296" s="13" t="n">
        <f aca="false">_xlfn.IFS(G296="","", G296=D296,1, G296&lt;&gt;D296,0)</f>
        <v>1</v>
      </c>
    </row>
    <row r="297" customFormat="false" ht="13.8" hidden="false" customHeight="false" outlineLevel="0" collapsed="false">
      <c r="A297" s="3" t="n">
        <v>296</v>
      </c>
      <c r="B297" s="3" t="s">
        <v>765</v>
      </c>
      <c r="C297" s="3" t="s">
        <v>105</v>
      </c>
      <c r="D297" s="3" t="s">
        <v>61</v>
      </c>
      <c r="E297" s="25" t="s">
        <v>874</v>
      </c>
      <c r="F297" s="3" t="s">
        <v>105</v>
      </c>
      <c r="G297" s="3" t="s">
        <v>61</v>
      </c>
      <c r="K297" s="13" t="n">
        <f aca="false">_xlfn.IFS(F297="","", F297=C297,1, F297&lt;&gt;C297,0)</f>
        <v>1</v>
      </c>
      <c r="L297" s="13" t="n">
        <f aca="false">_xlfn.IFS(G297="","", G297=D297,1, G297&lt;&gt;D297,0)</f>
        <v>1</v>
      </c>
    </row>
    <row r="298" customFormat="false" ht="13.8" hidden="false" customHeight="false" outlineLevel="0" collapsed="false">
      <c r="A298" s="3" t="n">
        <v>297</v>
      </c>
      <c r="B298" s="3" t="s">
        <v>488</v>
      </c>
      <c r="C298" s="3" t="s">
        <v>105</v>
      </c>
      <c r="D298" s="3" t="s">
        <v>77</v>
      </c>
      <c r="E298" s="25" t="s">
        <v>877</v>
      </c>
      <c r="F298" s="3" t="s">
        <v>150</v>
      </c>
      <c r="G298" s="3" t="s">
        <v>63</v>
      </c>
      <c r="K298" s="13" t="n">
        <f aca="false">_xlfn.IFS(F298="","", F298=C298,1, F298&lt;&gt;C298,0)</f>
        <v>0</v>
      </c>
      <c r="L298" s="13" t="n">
        <f aca="false">_xlfn.IFS(G298="","", G298=D298,1, G298&lt;&gt;D298,0)</f>
        <v>0</v>
      </c>
    </row>
    <row r="299" customFormat="false" ht="13.8" hidden="false" customHeight="false" outlineLevel="0" collapsed="false">
      <c r="A299" s="3" t="n">
        <v>298</v>
      </c>
      <c r="B299" s="3" t="s">
        <v>758</v>
      </c>
      <c r="C299" s="3" t="s">
        <v>105</v>
      </c>
      <c r="D299" s="3" t="s">
        <v>61</v>
      </c>
      <c r="E299" s="25" t="s">
        <v>874</v>
      </c>
      <c r="F299" s="3" t="s">
        <v>105</v>
      </c>
      <c r="G299" s="3" t="s">
        <v>61</v>
      </c>
      <c r="K299" s="13" t="n">
        <f aca="false">_xlfn.IFS(F299="","", F299=C299,1, F299&lt;&gt;C299,0)</f>
        <v>1</v>
      </c>
      <c r="L299" s="13" t="n">
        <f aca="false">_xlfn.IFS(G299="","", G299=D299,1, G299&lt;&gt;D299,0)</f>
        <v>1</v>
      </c>
    </row>
    <row r="300" customFormat="false" ht="13.8" hidden="false" customHeight="false" outlineLevel="0" collapsed="false">
      <c r="A300" s="3" t="n">
        <v>299</v>
      </c>
      <c r="B300" s="3" t="s">
        <v>443</v>
      </c>
      <c r="C300" s="3" t="s">
        <v>105</v>
      </c>
      <c r="D300" s="3" t="s">
        <v>77</v>
      </c>
      <c r="E300" s="25" t="s">
        <v>878</v>
      </c>
      <c r="F300" s="3"/>
      <c r="G300" s="3"/>
      <c r="K300" s="13" t="str">
        <f aca="false">_xlfn.IFS(F300="","", F300=C300,1, F300&lt;&gt;C300,0)</f>
        <v/>
      </c>
      <c r="L300" s="13" t="str">
        <f aca="false">_xlfn.IFS(G300="","", G300=D300,1, G300&lt;&gt;D300,0)</f>
        <v/>
      </c>
    </row>
    <row r="301" customFormat="false" ht="13.8" hidden="false" customHeight="false" outlineLevel="0" collapsed="false">
      <c r="A301" s="3" t="n">
        <v>300</v>
      </c>
      <c r="B301" s="3" t="s">
        <v>825</v>
      </c>
      <c r="C301" s="3" t="s">
        <v>105</v>
      </c>
      <c r="D301" s="3" t="s">
        <v>61</v>
      </c>
      <c r="E301" s="25" t="s">
        <v>874</v>
      </c>
      <c r="F301" s="3" t="s">
        <v>105</v>
      </c>
      <c r="G301" s="3" t="s">
        <v>61</v>
      </c>
      <c r="K301" s="13" t="n">
        <f aca="false">_xlfn.IFS(F301="","", F301=C301,1, F301&lt;&gt;C301,0)</f>
        <v>1</v>
      </c>
      <c r="L301" s="13" t="n">
        <f aca="false">_xlfn.IFS(G301="","", G301=D301,1, G301&lt;&gt;D301,0)</f>
        <v>1</v>
      </c>
    </row>
    <row r="302" customFormat="false" ht="13.8" hidden="false" customHeight="false" outlineLevel="0" collapsed="false">
      <c r="A302" s="3" t="n">
        <v>301</v>
      </c>
      <c r="B302" s="3" t="s">
        <v>345</v>
      </c>
      <c r="C302" s="3" t="s">
        <v>105</v>
      </c>
      <c r="D302" s="3" t="s">
        <v>77</v>
      </c>
      <c r="E302" s="25" t="s">
        <v>874</v>
      </c>
      <c r="F302" s="3" t="s">
        <v>105</v>
      </c>
      <c r="G302" s="3" t="s">
        <v>61</v>
      </c>
      <c r="K302" s="13" t="n">
        <f aca="false">_xlfn.IFS(F302="","", F302=C302,1, F302&lt;&gt;C302,0)</f>
        <v>1</v>
      </c>
      <c r="L302" s="13" t="n">
        <f aca="false">_xlfn.IFS(G302="","", G302=D302,1, G302&lt;&gt;D302,0)</f>
        <v>0</v>
      </c>
    </row>
    <row r="303" customFormat="false" ht="13.8" hidden="false" customHeight="false" outlineLevel="0" collapsed="false">
      <c r="A303" s="3" t="n">
        <v>302</v>
      </c>
      <c r="B303" s="3" t="s">
        <v>485</v>
      </c>
      <c r="C303" s="3" t="s">
        <v>105</v>
      </c>
      <c r="D303" s="3" t="s">
        <v>77</v>
      </c>
      <c r="E303" s="25" t="s">
        <v>877</v>
      </c>
      <c r="F303" s="3" t="s">
        <v>879</v>
      </c>
      <c r="G303" s="3"/>
      <c r="K303" s="13" t="n">
        <f aca="false">_xlfn.IFS(F303="","", F303=C303,1, F303&lt;&gt;C303,0)</f>
        <v>0</v>
      </c>
      <c r="L303" s="13" t="str">
        <f aca="false">_xlfn.IFS(G303="","", G303=D303,1, G303&lt;&gt;D303,0)</f>
        <v/>
      </c>
    </row>
    <row r="304" customFormat="false" ht="13.8" hidden="false" customHeight="false" outlineLevel="0" collapsed="false">
      <c r="A304" s="3" t="n">
        <v>303</v>
      </c>
      <c r="B304" s="3" t="s">
        <v>126</v>
      </c>
      <c r="C304" s="3" t="s">
        <v>105</v>
      </c>
      <c r="D304" s="3" t="s">
        <v>61</v>
      </c>
      <c r="E304" s="25" t="s">
        <v>878</v>
      </c>
      <c r="F304" s="3"/>
      <c r="G304" s="3"/>
      <c r="K304" s="13" t="str">
        <f aca="false">_xlfn.IFS(F304="","", F304=C304,1, F304&lt;&gt;C304,0)</f>
        <v/>
      </c>
      <c r="L304" s="13" t="str">
        <f aca="false">_xlfn.IFS(G304="","", G304=D304,1, G304&lt;&gt;D304,0)</f>
        <v/>
      </c>
    </row>
    <row r="305" customFormat="false" ht="13.8" hidden="false" customHeight="false" outlineLevel="0" collapsed="false">
      <c r="A305" s="3" t="n">
        <v>304</v>
      </c>
      <c r="B305" s="3" t="s">
        <v>346</v>
      </c>
      <c r="C305" s="3" t="s">
        <v>105</v>
      </c>
      <c r="D305" s="3" t="s">
        <v>61</v>
      </c>
      <c r="E305" s="25" t="s">
        <v>874</v>
      </c>
      <c r="F305" s="3" t="s">
        <v>105</v>
      </c>
      <c r="G305" s="3"/>
      <c r="K305" s="13" t="n">
        <f aca="false">_xlfn.IFS(F305="","", F305=C305,1, F305&lt;&gt;C305,0)</f>
        <v>1</v>
      </c>
      <c r="L305" s="13" t="str">
        <f aca="false">_xlfn.IFS(G305="","", G305=D305,1, G305&lt;&gt;D305,0)</f>
        <v/>
      </c>
    </row>
    <row r="306" customFormat="false" ht="13.8" hidden="false" customHeight="false" outlineLevel="0" collapsed="false">
      <c r="A306" s="3" t="n">
        <v>305</v>
      </c>
      <c r="B306" s="3" t="s">
        <v>715</v>
      </c>
      <c r="C306" s="3" t="s">
        <v>143</v>
      </c>
      <c r="D306" s="3" t="s">
        <v>288</v>
      </c>
      <c r="E306" s="25" t="s">
        <v>874</v>
      </c>
      <c r="F306" s="3" t="s">
        <v>105</v>
      </c>
      <c r="G306" s="3" t="s">
        <v>61</v>
      </c>
      <c r="K306" s="13" t="n">
        <f aca="false">_xlfn.IFS(F306="","", F306=C306,1, F306&lt;&gt;C306,0)</f>
        <v>0</v>
      </c>
      <c r="L306" s="13" t="n">
        <f aca="false">_xlfn.IFS(G306="","", G306=D306,1, G306&lt;&gt;D306,0)</f>
        <v>0</v>
      </c>
    </row>
    <row r="307" customFormat="false" ht="13.8" hidden="false" customHeight="false" outlineLevel="0" collapsed="false">
      <c r="A307" s="3" t="n">
        <v>306</v>
      </c>
      <c r="B307" s="3" t="s">
        <v>544</v>
      </c>
      <c r="C307" s="3" t="s">
        <v>105</v>
      </c>
      <c r="D307" s="3" t="s">
        <v>61</v>
      </c>
      <c r="E307" s="25" t="s">
        <v>877</v>
      </c>
      <c r="F307" s="3" t="s">
        <v>879</v>
      </c>
      <c r="G307" s="3"/>
      <c r="K307" s="13" t="n">
        <f aca="false">_xlfn.IFS(F307="","", F307=C307,1, F307&lt;&gt;C307,0)</f>
        <v>0</v>
      </c>
      <c r="L307" s="13" t="str">
        <f aca="false">_xlfn.IFS(G307="","", G307=D307,1, G307&lt;&gt;D307,0)</f>
        <v/>
      </c>
    </row>
    <row r="308" customFormat="false" ht="13.8" hidden="false" customHeight="false" outlineLevel="0" collapsed="false">
      <c r="A308" s="3" t="n">
        <v>307</v>
      </c>
      <c r="B308" s="3" t="s">
        <v>727</v>
      </c>
      <c r="C308" s="3" t="s">
        <v>105</v>
      </c>
      <c r="D308" s="3" t="s">
        <v>77</v>
      </c>
      <c r="E308" s="25" t="s">
        <v>877</v>
      </c>
      <c r="F308" s="3" t="s">
        <v>879</v>
      </c>
      <c r="G308" s="3"/>
      <c r="K308" s="13" t="n">
        <f aca="false">_xlfn.IFS(F308="","", F308=C308,1, F308&lt;&gt;C308,0)</f>
        <v>0</v>
      </c>
      <c r="L308" s="13" t="str">
        <f aca="false">_xlfn.IFS(G308="","", G308=D308,1, G308&lt;&gt;D308,0)</f>
        <v/>
      </c>
    </row>
    <row r="309" customFormat="false" ht="13.8" hidden="false" customHeight="false" outlineLevel="0" collapsed="false">
      <c r="A309" s="3" t="n">
        <v>308</v>
      </c>
      <c r="B309" s="3" t="s">
        <v>417</v>
      </c>
      <c r="C309" s="3" t="s">
        <v>143</v>
      </c>
      <c r="D309" s="3" t="s">
        <v>198</v>
      </c>
      <c r="E309" s="25" t="s">
        <v>874</v>
      </c>
      <c r="F309" s="3" t="s">
        <v>105</v>
      </c>
      <c r="G309" s="3" t="s">
        <v>61</v>
      </c>
      <c r="K309" s="13" t="n">
        <f aca="false">_xlfn.IFS(F309="","", F309=C309,1, F309&lt;&gt;C309,0)</f>
        <v>0</v>
      </c>
      <c r="L309" s="13" t="n">
        <f aca="false">_xlfn.IFS(G309="","", G309=D309,1, G309&lt;&gt;D309,0)</f>
        <v>0</v>
      </c>
    </row>
    <row r="310" customFormat="false" ht="13.8" hidden="false" customHeight="false" outlineLevel="0" collapsed="false">
      <c r="A310" s="3" t="n">
        <v>309</v>
      </c>
      <c r="B310" s="3" t="s">
        <v>592</v>
      </c>
      <c r="C310" s="3" t="s">
        <v>143</v>
      </c>
      <c r="D310" s="3" t="s">
        <v>198</v>
      </c>
      <c r="E310" s="25" t="s">
        <v>877</v>
      </c>
      <c r="F310" s="3" t="s">
        <v>879</v>
      </c>
      <c r="G310" s="3"/>
      <c r="K310" s="13" t="n">
        <f aca="false">_xlfn.IFS(F310="","", F310=C310,1, F310&lt;&gt;C310,0)</f>
        <v>0</v>
      </c>
      <c r="L310" s="13" t="str">
        <f aca="false">_xlfn.IFS(G310="","", G310=D310,1, G310&lt;&gt;D310,0)</f>
        <v/>
      </c>
    </row>
    <row r="311" customFormat="false" ht="13.8" hidden="false" customHeight="false" outlineLevel="0" collapsed="false">
      <c r="A311" s="3" t="n">
        <v>310</v>
      </c>
      <c r="B311" s="3" t="s">
        <v>783</v>
      </c>
      <c r="C311" s="3" t="s">
        <v>143</v>
      </c>
      <c r="D311" s="3" t="s">
        <v>288</v>
      </c>
      <c r="E311" s="25" t="s">
        <v>877</v>
      </c>
      <c r="F311" s="3" t="s">
        <v>879</v>
      </c>
      <c r="G311" s="3"/>
      <c r="K311" s="13" t="n">
        <f aca="false">_xlfn.IFS(F311="","", F311=C311,1, F311&lt;&gt;C311,0)</f>
        <v>0</v>
      </c>
      <c r="L311" s="13" t="str">
        <f aca="false">_xlfn.IFS(G311="","", G311=D311,1, G311&lt;&gt;D311,0)</f>
        <v/>
      </c>
    </row>
    <row r="312" customFormat="false" ht="13.8" hidden="false" customHeight="false" outlineLevel="0" collapsed="false">
      <c r="A312" s="3" t="n">
        <v>311</v>
      </c>
      <c r="B312" s="3" t="s">
        <v>508</v>
      </c>
      <c r="C312" s="3" t="s">
        <v>105</v>
      </c>
      <c r="D312" s="3" t="s">
        <v>77</v>
      </c>
      <c r="E312" s="25" t="s">
        <v>874</v>
      </c>
      <c r="F312" s="3" t="s">
        <v>105</v>
      </c>
      <c r="G312" s="3" t="s">
        <v>55</v>
      </c>
      <c r="K312" s="13" t="n">
        <f aca="false">_xlfn.IFS(F312="","", F312=C312,1, F312&lt;&gt;C312,0)</f>
        <v>1</v>
      </c>
      <c r="L312" s="13" t="n">
        <f aca="false">_xlfn.IFS(G312="","", G312=D312,1, G312&lt;&gt;D312,0)</f>
        <v>0</v>
      </c>
    </row>
    <row r="313" customFormat="false" ht="13.8" hidden="false" customHeight="false" outlineLevel="0" collapsed="false">
      <c r="A313" s="3" t="n">
        <v>312</v>
      </c>
      <c r="B313" s="3" t="s">
        <v>289</v>
      </c>
      <c r="C313" s="3" t="s">
        <v>105</v>
      </c>
      <c r="D313" s="3" t="s">
        <v>61</v>
      </c>
      <c r="E313" s="25" t="s">
        <v>877</v>
      </c>
      <c r="F313" s="3" t="s">
        <v>879</v>
      </c>
      <c r="G313" s="3"/>
      <c r="K313" s="13" t="n">
        <f aca="false">_xlfn.IFS(F313="","", F313=C313,1, F313&lt;&gt;C313,0)</f>
        <v>0</v>
      </c>
      <c r="L313" s="13" t="str">
        <f aca="false">_xlfn.IFS(G313="","", G313=D313,1, G313&lt;&gt;D313,0)</f>
        <v/>
      </c>
    </row>
    <row r="314" customFormat="false" ht="13.8" hidden="false" customHeight="false" outlineLevel="0" collapsed="false">
      <c r="A314" s="3" t="n">
        <v>313</v>
      </c>
      <c r="B314" s="3" t="s">
        <v>400</v>
      </c>
      <c r="C314" s="3" t="s">
        <v>105</v>
      </c>
      <c r="D314" s="3" t="s">
        <v>61</v>
      </c>
      <c r="E314" s="25" t="s">
        <v>877</v>
      </c>
      <c r="F314" s="3" t="s">
        <v>879</v>
      </c>
      <c r="G314" s="3"/>
      <c r="K314" s="13" t="n">
        <f aca="false">_xlfn.IFS(F314="","", F314=C314,1, F314&lt;&gt;C314,0)</f>
        <v>0</v>
      </c>
      <c r="L314" s="13" t="str">
        <f aca="false">_xlfn.IFS(G314="","", G314=D314,1, G314&lt;&gt;D314,0)</f>
        <v/>
      </c>
    </row>
    <row r="315" customFormat="false" ht="13.8" hidden="false" customHeight="false" outlineLevel="0" collapsed="false">
      <c r="A315" s="3" t="n">
        <v>314</v>
      </c>
      <c r="B315" s="3" t="s">
        <v>769</v>
      </c>
      <c r="C315" s="3" t="s">
        <v>105</v>
      </c>
      <c r="D315" s="3" t="s">
        <v>61</v>
      </c>
      <c r="E315" s="25" t="s">
        <v>874</v>
      </c>
      <c r="F315" s="3" t="s">
        <v>105</v>
      </c>
      <c r="G315" s="3" t="s">
        <v>61</v>
      </c>
      <c r="K315" s="13" t="n">
        <f aca="false">_xlfn.IFS(F315="","", F315=C315,1, F315&lt;&gt;C315,0)</f>
        <v>1</v>
      </c>
      <c r="L315" s="13" t="n">
        <f aca="false">_xlfn.IFS(G315="","", G315=D315,1, G315&lt;&gt;D315,0)</f>
        <v>1</v>
      </c>
    </row>
    <row r="316" customFormat="false" ht="13.8" hidden="false" customHeight="false" outlineLevel="0" collapsed="false">
      <c r="A316" s="3" t="n">
        <v>315</v>
      </c>
      <c r="B316" s="3" t="s">
        <v>836</v>
      </c>
      <c r="C316" s="3" t="s">
        <v>143</v>
      </c>
      <c r="D316" s="3" t="s">
        <v>198</v>
      </c>
      <c r="E316" s="25" t="s">
        <v>878</v>
      </c>
      <c r="F316" s="3"/>
      <c r="G316" s="3"/>
      <c r="K316" s="13" t="str">
        <f aca="false">_xlfn.IFS(F316="","", F316=C316,1, F316&lt;&gt;C316,0)</f>
        <v/>
      </c>
      <c r="L316" s="13" t="str">
        <f aca="false">_xlfn.IFS(G316="","", G316=D316,1, G316&lt;&gt;D316,0)</f>
        <v/>
      </c>
    </row>
    <row r="317" customFormat="false" ht="13.8" hidden="false" customHeight="false" outlineLevel="0" collapsed="false">
      <c r="A317" s="3" t="n">
        <v>316</v>
      </c>
      <c r="B317" s="3" t="s">
        <v>776</v>
      </c>
      <c r="C317" s="3" t="s">
        <v>105</v>
      </c>
      <c r="D317" s="3" t="s">
        <v>61</v>
      </c>
      <c r="E317" s="25" t="s">
        <v>877</v>
      </c>
      <c r="F317" s="3" t="s">
        <v>150</v>
      </c>
      <c r="G317" s="3" t="s">
        <v>63</v>
      </c>
      <c r="K317" s="13" t="n">
        <f aca="false">_xlfn.IFS(F317="","", F317=C317,1, F317&lt;&gt;C317,0)</f>
        <v>0</v>
      </c>
      <c r="L317" s="13" t="n">
        <f aca="false">_xlfn.IFS(G317="","", G317=D317,1, G317&lt;&gt;D317,0)</f>
        <v>0</v>
      </c>
    </row>
    <row r="318" customFormat="false" ht="13.8" hidden="false" customHeight="false" outlineLevel="0" collapsed="false">
      <c r="A318" s="3" t="n">
        <v>317</v>
      </c>
      <c r="B318" s="3" t="s">
        <v>429</v>
      </c>
      <c r="C318" s="3" t="s">
        <v>105</v>
      </c>
      <c r="D318" s="3" t="s">
        <v>61</v>
      </c>
      <c r="E318" s="25" t="s">
        <v>877</v>
      </c>
      <c r="F318" s="3" t="s">
        <v>879</v>
      </c>
      <c r="G318" s="3"/>
      <c r="K318" s="13" t="n">
        <f aca="false">_xlfn.IFS(F318="","", F318=C318,1, F318&lt;&gt;C318,0)</f>
        <v>0</v>
      </c>
      <c r="L318" s="13" t="str">
        <f aca="false">_xlfn.IFS(G318="","", G318=D318,1, G318&lt;&gt;D318,0)</f>
        <v/>
      </c>
    </row>
    <row r="319" customFormat="false" ht="13.8" hidden="false" customHeight="false" outlineLevel="0" collapsed="false">
      <c r="A319" s="3" t="n">
        <v>318</v>
      </c>
      <c r="B319" s="3" t="s">
        <v>781</v>
      </c>
      <c r="C319" s="3" t="s">
        <v>105</v>
      </c>
      <c r="D319" s="3" t="s">
        <v>77</v>
      </c>
      <c r="E319" s="25" t="s">
        <v>874</v>
      </c>
      <c r="F319" s="3" t="s">
        <v>105</v>
      </c>
      <c r="G319" s="3" t="s">
        <v>61</v>
      </c>
      <c r="K319" s="13" t="n">
        <f aca="false">_xlfn.IFS(F319="","", F319=C319,1, F319&lt;&gt;C319,0)</f>
        <v>1</v>
      </c>
      <c r="L319" s="13" t="n">
        <f aca="false">_xlfn.IFS(G319="","", G319=D319,1, G319&lt;&gt;D319,0)</f>
        <v>0</v>
      </c>
    </row>
    <row r="320" customFormat="false" ht="13.8" hidden="false" customHeight="false" outlineLevel="0" collapsed="false">
      <c r="A320" s="3" t="n">
        <v>319</v>
      </c>
      <c r="B320" s="3" t="s">
        <v>290</v>
      </c>
      <c r="C320" s="3" t="s">
        <v>105</v>
      </c>
      <c r="D320" s="3" t="s">
        <v>61</v>
      </c>
      <c r="E320" s="25" t="s">
        <v>874</v>
      </c>
      <c r="F320" s="3" t="s">
        <v>105</v>
      </c>
      <c r="G320" s="3" t="s">
        <v>61</v>
      </c>
      <c r="K320" s="13" t="n">
        <f aca="false">_xlfn.IFS(F320="","", F320=C320,1, F320&lt;&gt;C320,0)</f>
        <v>1</v>
      </c>
      <c r="L320" s="13" t="n">
        <f aca="false">_xlfn.IFS(G320="","", G320=D320,1, G320&lt;&gt;D320,0)</f>
        <v>1</v>
      </c>
    </row>
    <row r="321" customFormat="false" ht="13.8" hidden="false" customHeight="false" outlineLevel="0" collapsed="false">
      <c r="A321" s="3" t="n">
        <v>320</v>
      </c>
      <c r="B321" s="3" t="s">
        <v>750</v>
      </c>
      <c r="C321" s="3" t="s">
        <v>143</v>
      </c>
      <c r="D321" s="3" t="s">
        <v>288</v>
      </c>
      <c r="E321" s="25" t="s">
        <v>877</v>
      </c>
      <c r="F321" s="3" t="s">
        <v>150</v>
      </c>
      <c r="G321" s="3" t="s">
        <v>883</v>
      </c>
      <c r="K321" s="13" t="n">
        <f aca="false">_xlfn.IFS(F321="","", F321=C321,1, F321&lt;&gt;C321,0)</f>
        <v>0</v>
      </c>
      <c r="L321" s="13" t="n">
        <f aca="false">_xlfn.IFS(G321="","", G321=D321,1, G321&lt;&gt;D321,0)</f>
        <v>0</v>
      </c>
    </row>
    <row r="322" customFormat="false" ht="13.8" hidden="false" customHeight="false" outlineLevel="0" collapsed="false">
      <c r="A322" s="3" t="n">
        <v>321</v>
      </c>
      <c r="B322" s="3" t="s">
        <v>127</v>
      </c>
      <c r="C322" s="3" t="s">
        <v>105</v>
      </c>
      <c r="D322" s="3" t="s">
        <v>61</v>
      </c>
      <c r="E322" s="25" t="s">
        <v>874</v>
      </c>
      <c r="F322" s="3" t="s">
        <v>105</v>
      </c>
      <c r="G322" s="3" t="s">
        <v>61</v>
      </c>
      <c r="K322" s="13" t="n">
        <f aca="false">_xlfn.IFS(F322="","", F322=C322,1, F322&lt;&gt;C322,0)</f>
        <v>1</v>
      </c>
      <c r="L322" s="13" t="n">
        <f aca="false">_xlfn.IFS(G322="","", G322=D322,1, G322&lt;&gt;D322,0)</f>
        <v>1</v>
      </c>
    </row>
    <row r="323" customFormat="false" ht="13.8" hidden="false" customHeight="false" outlineLevel="0" collapsed="false">
      <c r="A323" s="3" t="n">
        <v>322</v>
      </c>
      <c r="B323" s="3" t="s">
        <v>503</v>
      </c>
      <c r="C323" s="3" t="s">
        <v>143</v>
      </c>
      <c r="D323" s="3" t="s">
        <v>198</v>
      </c>
      <c r="E323" s="25" t="s">
        <v>877</v>
      </c>
      <c r="F323" s="3" t="s">
        <v>150</v>
      </c>
      <c r="G323" s="3" t="s">
        <v>83</v>
      </c>
      <c r="K323" s="13" t="n">
        <f aca="false">_xlfn.IFS(F323="","", F323=C323,1, F323&lt;&gt;C323,0)</f>
        <v>0</v>
      </c>
      <c r="L323" s="13" t="n">
        <f aca="false">_xlfn.IFS(G323="","", G323=D323,1, G323&lt;&gt;D323,0)</f>
        <v>0</v>
      </c>
    </row>
    <row r="324" customFormat="false" ht="13.8" hidden="false" customHeight="false" outlineLevel="0" collapsed="false">
      <c r="A324" s="3" t="n">
        <v>323</v>
      </c>
      <c r="B324" s="3" t="s">
        <v>406</v>
      </c>
      <c r="C324" s="3" t="s">
        <v>105</v>
      </c>
      <c r="D324" s="3" t="s">
        <v>61</v>
      </c>
      <c r="E324" s="25" t="s">
        <v>877</v>
      </c>
      <c r="F324" s="3" t="s">
        <v>150</v>
      </c>
      <c r="G324" s="3" t="s">
        <v>83</v>
      </c>
      <c r="K324" s="13" t="n">
        <f aca="false">_xlfn.IFS(F324="","", F324=C324,1, F324&lt;&gt;C324,0)</f>
        <v>0</v>
      </c>
      <c r="L324" s="13" t="n">
        <f aca="false">_xlfn.IFS(G324="","", G324=D324,1, G324&lt;&gt;D324,0)</f>
        <v>0</v>
      </c>
    </row>
    <row r="325" customFormat="false" ht="13.8" hidden="false" customHeight="false" outlineLevel="0" collapsed="false">
      <c r="A325" s="3" t="n">
        <v>324</v>
      </c>
      <c r="B325" s="3" t="s">
        <v>730</v>
      </c>
      <c r="C325" s="3" t="s">
        <v>105</v>
      </c>
      <c r="D325" s="3" t="s">
        <v>77</v>
      </c>
      <c r="E325" s="25" t="s">
        <v>874</v>
      </c>
      <c r="F325" s="3" t="s">
        <v>105</v>
      </c>
      <c r="G325" s="3" t="s">
        <v>55</v>
      </c>
      <c r="K325" s="13" t="n">
        <f aca="false">_xlfn.IFS(F325="","", F325=C325,1, F325&lt;&gt;C325,0)</f>
        <v>1</v>
      </c>
      <c r="L325" s="13" t="n">
        <f aca="false">_xlfn.IFS(G325="","", G325=D325,1, G325&lt;&gt;D325,0)</f>
        <v>0</v>
      </c>
    </row>
    <row r="326" customFormat="false" ht="13.8" hidden="false" customHeight="false" outlineLevel="0" collapsed="false">
      <c r="A326" s="3" t="n">
        <v>325</v>
      </c>
      <c r="B326" s="3" t="s">
        <v>555</v>
      </c>
      <c r="C326" s="3" t="s">
        <v>105</v>
      </c>
      <c r="D326" s="3" t="s">
        <v>61</v>
      </c>
      <c r="E326" s="25" t="s">
        <v>874</v>
      </c>
      <c r="F326" s="3" t="s">
        <v>105</v>
      </c>
      <c r="G326" s="3" t="s">
        <v>61</v>
      </c>
      <c r="K326" s="13" t="n">
        <f aca="false">_xlfn.IFS(F326="","", F326=C326,1, F326&lt;&gt;C326,0)</f>
        <v>1</v>
      </c>
      <c r="L326" s="13" t="n">
        <f aca="false">_xlfn.IFS(G326="","", G326=D326,1, G326&lt;&gt;D326,0)</f>
        <v>1</v>
      </c>
    </row>
    <row r="327" customFormat="false" ht="13.8" hidden="false" customHeight="false" outlineLevel="0" collapsed="false">
      <c r="A327" s="3" t="n">
        <v>326</v>
      </c>
      <c r="B327" s="3" t="s">
        <v>500</v>
      </c>
      <c r="C327" s="3" t="s">
        <v>105</v>
      </c>
      <c r="D327" s="3" t="s">
        <v>77</v>
      </c>
      <c r="E327" s="25" t="s">
        <v>874</v>
      </c>
      <c r="F327" s="3" t="s">
        <v>105</v>
      </c>
      <c r="G327" s="3" t="s">
        <v>61</v>
      </c>
      <c r="K327" s="13" t="n">
        <f aca="false">_xlfn.IFS(F327="","", F327=C327,1, F327&lt;&gt;C327,0)</f>
        <v>1</v>
      </c>
      <c r="L327" s="13" t="n">
        <f aca="false">_xlfn.IFS(G327="","", G327=D327,1, G327&lt;&gt;D327,0)</f>
        <v>0</v>
      </c>
    </row>
    <row r="328" customFormat="false" ht="13.8" hidden="false" customHeight="false" outlineLevel="0" collapsed="false">
      <c r="A328" s="3" t="n">
        <v>327</v>
      </c>
      <c r="B328" s="3" t="s">
        <v>733</v>
      </c>
      <c r="C328" s="3" t="s">
        <v>105</v>
      </c>
      <c r="D328" s="3" t="s">
        <v>61</v>
      </c>
      <c r="E328" s="25" t="s">
        <v>874</v>
      </c>
      <c r="F328" s="3" t="s">
        <v>105</v>
      </c>
      <c r="G328" s="3" t="s">
        <v>61</v>
      </c>
      <c r="K328" s="13" t="n">
        <f aca="false">_xlfn.IFS(F328="","", F328=C328,1, F328&lt;&gt;C328,0)</f>
        <v>1</v>
      </c>
      <c r="L328" s="13" t="n">
        <f aca="false">_xlfn.IFS(G328="","", G328=D328,1, G328&lt;&gt;D328,0)</f>
        <v>1</v>
      </c>
    </row>
    <row r="329" customFormat="false" ht="13.8" hidden="false" customHeight="false" outlineLevel="0" collapsed="false">
      <c r="A329" s="3" t="n">
        <v>328</v>
      </c>
      <c r="B329" s="3" t="s">
        <v>319</v>
      </c>
      <c r="C329" s="3" t="s">
        <v>105</v>
      </c>
      <c r="D329" s="3" t="s">
        <v>61</v>
      </c>
      <c r="E329" s="25" t="s">
        <v>874</v>
      </c>
      <c r="F329" s="3" t="s">
        <v>105</v>
      </c>
      <c r="G329" s="3" t="s">
        <v>55</v>
      </c>
      <c r="K329" s="13" t="n">
        <f aca="false">_xlfn.IFS(F329="","", F329=C329,1, F329&lt;&gt;C329,0)</f>
        <v>1</v>
      </c>
      <c r="L329" s="13" t="n">
        <f aca="false">_xlfn.IFS(G329="","", G329=D329,1, G329&lt;&gt;D329,0)</f>
        <v>0</v>
      </c>
    </row>
    <row r="330" customFormat="false" ht="13.8" hidden="false" customHeight="false" outlineLevel="0" collapsed="false">
      <c r="A330" s="3" t="n">
        <v>329</v>
      </c>
      <c r="B330" s="3" t="s">
        <v>607</v>
      </c>
      <c r="C330" s="3" t="s">
        <v>105</v>
      </c>
      <c r="D330" s="3" t="s">
        <v>61</v>
      </c>
      <c r="E330" s="25" t="s">
        <v>877</v>
      </c>
      <c r="F330" s="3" t="s">
        <v>879</v>
      </c>
      <c r="G330" s="3"/>
      <c r="K330" s="13" t="n">
        <f aca="false">_xlfn.IFS(F330="","", F330=C330,1, F330&lt;&gt;C330,0)</f>
        <v>0</v>
      </c>
      <c r="L330" s="13" t="str">
        <f aca="false">_xlfn.IFS(G330="","", G330=D330,1, G330&lt;&gt;D330,0)</f>
        <v/>
      </c>
    </row>
    <row r="331" customFormat="false" ht="13.8" hidden="false" customHeight="false" outlineLevel="0" collapsed="false">
      <c r="A331" s="3" t="n">
        <v>330</v>
      </c>
      <c r="B331" s="3" t="s">
        <v>370</v>
      </c>
      <c r="C331" s="3" t="s">
        <v>143</v>
      </c>
      <c r="D331" s="3" t="s">
        <v>288</v>
      </c>
      <c r="E331" s="25" t="s">
        <v>874</v>
      </c>
      <c r="F331" s="3" t="s">
        <v>105</v>
      </c>
      <c r="G331" s="3" t="s">
        <v>61</v>
      </c>
      <c r="K331" s="13" t="n">
        <f aca="false">_xlfn.IFS(F331="","", F331=C331,1, F331&lt;&gt;C331,0)</f>
        <v>0</v>
      </c>
      <c r="L331" s="13" t="n">
        <f aca="false">_xlfn.IFS(G331="","", G331=D331,1, G331&lt;&gt;D331,0)</f>
        <v>0</v>
      </c>
    </row>
    <row r="332" customFormat="false" ht="13.8" hidden="false" customHeight="false" outlineLevel="0" collapsed="false">
      <c r="A332" s="3" t="n">
        <v>331</v>
      </c>
      <c r="B332" s="3" t="s">
        <v>451</v>
      </c>
      <c r="C332" s="3" t="s">
        <v>105</v>
      </c>
      <c r="D332" s="3" t="s">
        <v>61</v>
      </c>
      <c r="E332" s="25" t="s">
        <v>878</v>
      </c>
      <c r="F332" s="3"/>
      <c r="G332" s="3"/>
      <c r="K332" s="13" t="str">
        <f aca="false">_xlfn.IFS(F332="","", F332=C332,1, F332&lt;&gt;C332,0)</f>
        <v/>
      </c>
      <c r="L332" s="13" t="str">
        <f aca="false">_xlfn.IFS(G332="","", G332=D332,1, G332&lt;&gt;D332,0)</f>
        <v/>
      </c>
    </row>
    <row r="333" customFormat="false" ht="13.8" hidden="false" customHeight="false" outlineLevel="0" collapsed="false">
      <c r="A333" s="3" t="n">
        <v>332</v>
      </c>
      <c r="B333" s="3" t="s">
        <v>865</v>
      </c>
      <c r="C333" s="3" t="s">
        <v>105</v>
      </c>
      <c r="D333" s="3" t="s">
        <v>61</v>
      </c>
      <c r="E333" s="25" t="s">
        <v>874</v>
      </c>
      <c r="F333" s="3" t="s">
        <v>105</v>
      </c>
      <c r="G333" s="3" t="s">
        <v>61</v>
      </c>
      <c r="K333" s="13" t="n">
        <f aca="false">_xlfn.IFS(F333="","", F333=C333,1, F333&lt;&gt;C333,0)</f>
        <v>1</v>
      </c>
      <c r="L333" s="13" t="n">
        <f aca="false">_xlfn.IFS(G333="","", G333=D333,1, G333&lt;&gt;D333,0)</f>
        <v>1</v>
      </c>
    </row>
    <row r="334" customFormat="false" ht="13.8" hidden="false" customHeight="false" outlineLevel="0" collapsed="false">
      <c r="A334" s="3" t="n">
        <v>333</v>
      </c>
      <c r="B334" s="3" t="s">
        <v>735</v>
      </c>
      <c r="C334" s="3" t="s">
        <v>105</v>
      </c>
      <c r="D334" s="3" t="s">
        <v>61</v>
      </c>
      <c r="E334" s="25" t="s">
        <v>874</v>
      </c>
      <c r="F334" s="3" t="s">
        <v>105</v>
      </c>
      <c r="G334" s="3"/>
      <c r="K334" s="13" t="n">
        <f aca="false">_xlfn.IFS(F334="","", F334=C334,1, F334&lt;&gt;C334,0)</f>
        <v>1</v>
      </c>
      <c r="L334" s="13" t="str">
        <f aca="false">_xlfn.IFS(G334="","", G334=D334,1, G334&lt;&gt;D334,0)</f>
        <v/>
      </c>
    </row>
    <row r="335" customFormat="false" ht="13.8" hidden="false" customHeight="false" outlineLevel="0" collapsed="false">
      <c r="A335" s="3" t="n">
        <v>334</v>
      </c>
      <c r="B335" s="3" t="s">
        <v>642</v>
      </c>
      <c r="C335" s="3" t="s">
        <v>143</v>
      </c>
      <c r="D335" s="3" t="s">
        <v>589</v>
      </c>
      <c r="E335" s="25" t="s">
        <v>877</v>
      </c>
      <c r="F335" s="3" t="s">
        <v>150</v>
      </c>
      <c r="G335" s="3" t="s">
        <v>883</v>
      </c>
      <c r="K335" s="13" t="n">
        <f aca="false">_xlfn.IFS(F335="","", F335=C335,1, F335&lt;&gt;C335,0)</f>
        <v>0</v>
      </c>
      <c r="L335" s="13" t="n">
        <f aca="false">_xlfn.IFS(G335="","", G335=D335,1, G335&lt;&gt;D335,0)</f>
        <v>0</v>
      </c>
    </row>
    <row r="336" customFormat="false" ht="13.8" hidden="false" customHeight="false" outlineLevel="0" collapsed="false">
      <c r="A336" s="3" t="n">
        <v>335</v>
      </c>
      <c r="B336" s="3" t="s">
        <v>600</v>
      </c>
      <c r="C336" s="3" t="s">
        <v>105</v>
      </c>
      <c r="D336" s="3" t="s">
        <v>61</v>
      </c>
      <c r="E336" s="25" t="s">
        <v>874</v>
      </c>
      <c r="F336" s="3" t="s">
        <v>105</v>
      </c>
      <c r="G336" s="3" t="s">
        <v>61</v>
      </c>
      <c r="K336" s="13" t="n">
        <f aca="false">_xlfn.IFS(F336="","", F336=C336,1, F336&lt;&gt;C336,0)</f>
        <v>1</v>
      </c>
      <c r="L336" s="13" t="n">
        <f aca="false">_xlfn.IFS(G336="","", G336=D336,1, G336&lt;&gt;D336,0)</f>
        <v>1</v>
      </c>
    </row>
    <row r="337" customFormat="false" ht="13.8" hidden="false" customHeight="false" outlineLevel="0" collapsed="false">
      <c r="A337" s="3" t="n">
        <v>336</v>
      </c>
      <c r="B337" s="3" t="s">
        <v>651</v>
      </c>
      <c r="C337" s="3" t="s">
        <v>150</v>
      </c>
      <c r="D337" s="3" t="s">
        <v>83</v>
      </c>
      <c r="E337" s="25" t="s">
        <v>874</v>
      </c>
      <c r="F337" s="3" t="s">
        <v>105</v>
      </c>
      <c r="G337" s="3" t="s">
        <v>61</v>
      </c>
      <c r="K337" s="13" t="n">
        <f aca="false">_xlfn.IFS(F337="","", F337=C337,1, F337&lt;&gt;C337,0)</f>
        <v>0</v>
      </c>
      <c r="L337" s="13" t="n">
        <f aca="false">_xlfn.IFS(G337="","", G337=D337,1, G337&lt;&gt;D337,0)</f>
        <v>0</v>
      </c>
    </row>
    <row r="338" customFormat="false" ht="13.8" hidden="false" customHeight="false" outlineLevel="0" collapsed="false">
      <c r="A338" s="3" t="n">
        <v>337</v>
      </c>
      <c r="B338" s="3" t="s">
        <v>533</v>
      </c>
      <c r="C338" s="3" t="s">
        <v>105</v>
      </c>
      <c r="D338" s="3" t="s">
        <v>77</v>
      </c>
      <c r="E338" s="25" t="s">
        <v>874</v>
      </c>
      <c r="F338" s="3" t="s">
        <v>105</v>
      </c>
      <c r="G338" s="3" t="s">
        <v>61</v>
      </c>
      <c r="K338" s="13" t="n">
        <f aca="false">_xlfn.IFS(F338="","", F338=C338,1, F338&lt;&gt;C338,0)</f>
        <v>1</v>
      </c>
      <c r="L338" s="13" t="n">
        <f aca="false">_xlfn.IFS(G338="","", G338=D338,1, G338&lt;&gt;D338,0)</f>
        <v>0</v>
      </c>
    </row>
    <row r="339" customFormat="false" ht="13.8" hidden="false" customHeight="false" outlineLevel="0" collapsed="false">
      <c r="A339" s="3" t="n">
        <v>338</v>
      </c>
      <c r="B339" s="3" t="s">
        <v>565</v>
      </c>
      <c r="C339" s="3" t="s">
        <v>143</v>
      </c>
      <c r="D339" s="3" t="s">
        <v>288</v>
      </c>
      <c r="E339" s="25" t="s">
        <v>877</v>
      </c>
      <c r="F339" s="3" t="s">
        <v>879</v>
      </c>
      <c r="G339" s="3"/>
      <c r="K339" s="13" t="n">
        <f aca="false">_xlfn.IFS(F339="","", F339=C339,1, F339&lt;&gt;C339,0)</f>
        <v>0</v>
      </c>
      <c r="L339" s="13" t="str">
        <f aca="false">_xlfn.IFS(G339="","", G339=D339,1, G339&lt;&gt;D339,0)</f>
        <v/>
      </c>
    </row>
    <row r="340" customFormat="false" ht="13.8" hidden="false" customHeight="false" outlineLevel="0" collapsed="false">
      <c r="A340" s="3" t="n">
        <v>339</v>
      </c>
      <c r="B340" s="3" t="s">
        <v>371</v>
      </c>
      <c r="C340" s="3" t="s">
        <v>105</v>
      </c>
      <c r="D340" s="3" t="s">
        <v>61</v>
      </c>
      <c r="E340" s="25" t="s">
        <v>877</v>
      </c>
      <c r="F340" s="3" t="s">
        <v>879</v>
      </c>
      <c r="G340" s="3"/>
      <c r="K340" s="13" t="n">
        <f aca="false">_xlfn.IFS(F340="","", F340=C340,1, F340&lt;&gt;C340,0)</f>
        <v>0</v>
      </c>
      <c r="L340" s="13" t="str">
        <f aca="false">_xlfn.IFS(G340="","", G340=D340,1, G340&lt;&gt;D340,0)</f>
        <v/>
      </c>
    </row>
    <row r="341" customFormat="false" ht="13.8" hidden="false" customHeight="false" outlineLevel="0" collapsed="false">
      <c r="A341" s="3" t="n">
        <v>340</v>
      </c>
      <c r="B341" s="3" t="s">
        <v>782</v>
      </c>
      <c r="C341" s="3" t="s">
        <v>105</v>
      </c>
      <c r="D341" s="3" t="s">
        <v>61</v>
      </c>
      <c r="E341" s="25" t="s">
        <v>874</v>
      </c>
      <c r="F341" s="3" t="s">
        <v>105</v>
      </c>
      <c r="G341" s="3" t="s">
        <v>61</v>
      </c>
      <c r="K341" s="13" t="n">
        <f aca="false">_xlfn.IFS(F341="","", F341=C341,1, F341&lt;&gt;C341,0)</f>
        <v>1</v>
      </c>
      <c r="L341" s="13" t="n">
        <f aca="false">_xlfn.IFS(G341="","", G341=D341,1, G341&lt;&gt;D341,0)</f>
        <v>1</v>
      </c>
    </row>
    <row r="342" customFormat="false" ht="13.8" hidden="false" customHeight="false" outlineLevel="0" collapsed="false">
      <c r="A342" s="3" t="n">
        <v>341</v>
      </c>
      <c r="B342" s="3" t="s">
        <v>736</v>
      </c>
      <c r="C342" s="3" t="s">
        <v>105</v>
      </c>
      <c r="D342" s="3" t="s">
        <v>61</v>
      </c>
      <c r="E342" s="25" t="s">
        <v>877</v>
      </c>
      <c r="F342" s="3" t="s">
        <v>150</v>
      </c>
      <c r="G342" s="3" t="s">
        <v>883</v>
      </c>
      <c r="K342" s="13" t="n">
        <f aca="false">_xlfn.IFS(F342="","", F342=C342,1, F342&lt;&gt;C342,0)</f>
        <v>0</v>
      </c>
      <c r="L342" s="13" t="n">
        <f aca="false">_xlfn.IFS(G342="","", G342=D342,1, G342&lt;&gt;D342,0)</f>
        <v>0</v>
      </c>
    </row>
    <row r="343" customFormat="false" ht="13.8" hidden="false" customHeight="false" outlineLevel="0" collapsed="false">
      <c r="A343" s="3" t="n">
        <v>342</v>
      </c>
      <c r="B343" s="3" t="s">
        <v>572</v>
      </c>
      <c r="C343" s="3" t="s">
        <v>105</v>
      </c>
      <c r="D343" s="3" t="s">
        <v>61</v>
      </c>
      <c r="E343" s="25" t="s">
        <v>877</v>
      </c>
      <c r="F343" s="3" t="s">
        <v>879</v>
      </c>
      <c r="G343" s="3"/>
      <c r="K343" s="13" t="n">
        <f aca="false">_xlfn.IFS(F343="","", F343=C343,1, F343&lt;&gt;C343,0)</f>
        <v>0</v>
      </c>
      <c r="L343" s="13" t="str">
        <f aca="false">_xlfn.IFS(G343="","", G343=D343,1, G343&lt;&gt;D343,0)</f>
        <v/>
      </c>
    </row>
    <row r="344" customFormat="false" ht="13.8" hidden="false" customHeight="false" outlineLevel="0" collapsed="false">
      <c r="A344" s="3" t="n">
        <v>343</v>
      </c>
      <c r="B344" s="3" t="s">
        <v>741</v>
      </c>
      <c r="C344" s="3" t="s">
        <v>143</v>
      </c>
      <c r="D344" s="3" t="s">
        <v>198</v>
      </c>
      <c r="E344" s="25" t="s">
        <v>874</v>
      </c>
      <c r="F344" s="3" t="s">
        <v>105</v>
      </c>
      <c r="G344" s="3" t="s">
        <v>55</v>
      </c>
      <c r="K344" s="13" t="n">
        <f aca="false">_xlfn.IFS(F344="","", F344=C344,1, F344&lt;&gt;C344,0)</f>
        <v>0</v>
      </c>
      <c r="L344" s="13" t="n">
        <f aca="false">_xlfn.IFS(G344="","", G344=D344,1, G344&lt;&gt;D344,0)</f>
        <v>0</v>
      </c>
    </row>
    <row r="345" customFormat="false" ht="13.8" hidden="false" customHeight="false" outlineLevel="0" collapsed="false">
      <c r="A345" s="3" t="n">
        <v>344</v>
      </c>
      <c r="B345" s="3" t="s">
        <v>561</v>
      </c>
      <c r="C345" s="3" t="s">
        <v>105</v>
      </c>
      <c r="D345" s="3" t="s">
        <v>61</v>
      </c>
      <c r="E345" s="25" t="s">
        <v>877</v>
      </c>
      <c r="F345" s="3" t="s">
        <v>879</v>
      </c>
      <c r="G345" s="3"/>
      <c r="K345" s="13" t="n">
        <f aca="false">_xlfn.IFS(F345="","", F345=C345,1, F345&lt;&gt;C345,0)</f>
        <v>0</v>
      </c>
      <c r="L345" s="13" t="str">
        <f aca="false">_xlfn.IFS(G345="","", G345=D345,1, G345&lt;&gt;D345,0)</f>
        <v/>
      </c>
    </row>
    <row r="346" customFormat="false" ht="13.8" hidden="false" customHeight="false" outlineLevel="0" collapsed="false">
      <c r="A346" s="3" t="n">
        <v>345</v>
      </c>
      <c r="B346" s="3" t="s">
        <v>828</v>
      </c>
      <c r="C346" s="3" t="s">
        <v>105</v>
      </c>
      <c r="D346" s="3" t="s">
        <v>61</v>
      </c>
      <c r="E346" s="25" t="s">
        <v>877</v>
      </c>
      <c r="F346" s="3" t="s">
        <v>879</v>
      </c>
      <c r="G346" s="3"/>
      <c r="K346" s="13" t="n">
        <f aca="false">_xlfn.IFS(F346="","", F346=C346,1, F346&lt;&gt;C346,0)</f>
        <v>0</v>
      </c>
      <c r="L346" s="13" t="str">
        <f aca="false">_xlfn.IFS(G346="","", G346=D346,1, G346&lt;&gt;D346,0)</f>
        <v/>
      </c>
    </row>
    <row r="347" customFormat="false" ht="13.8" hidden="false" customHeight="false" outlineLevel="0" collapsed="false">
      <c r="A347" s="3" t="n">
        <v>346</v>
      </c>
      <c r="B347" s="3" t="s">
        <v>711</v>
      </c>
      <c r="C347" s="3" t="s">
        <v>105</v>
      </c>
      <c r="D347" s="3" t="s">
        <v>61</v>
      </c>
      <c r="E347" s="25" t="s">
        <v>874</v>
      </c>
      <c r="F347" s="3" t="s">
        <v>105</v>
      </c>
      <c r="G347" s="3" t="s">
        <v>61</v>
      </c>
      <c r="K347" s="13" t="n">
        <f aca="false">_xlfn.IFS(F347="","", F347=C347,1, F347&lt;&gt;C347,0)</f>
        <v>1</v>
      </c>
      <c r="L347" s="13" t="n">
        <f aca="false">_xlfn.IFS(G347="","", G347=D347,1, G347&lt;&gt;D347,0)</f>
        <v>1</v>
      </c>
    </row>
    <row r="348" customFormat="false" ht="13.8" hidden="false" customHeight="false" outlineLevel="0" collapsed="false">
      <c r="A348" s="3" t="n">
        <v>347</v>
      </c>
      <c r="B348" s="3" t="s">
        <v>465</v>
      </c>
      <c r="C348" s="3" t="s">
        <v>105</v>
      </c>
      <c r="D348" s="3" t="s">
        <v>61</v>
      </c>
      <c r="E348" s="25" t="s">
        <v>878</v>
      </c>
      <c r="F348" s="3"/>
      <c r="G348" s="3"/>
      <c r="K348" s="13" t="str">
        <f aca="false">_xlfn.IFS(F348="","", F348=C348,1, F348&lt;&gt;C348,0)</f>
        <v/>
      </c>
      <c r="L348" s="13" t="str">
        <f aca="false">_xlfn.IFS(G348="","", G348=D348,1, G348&lt;&gt;D348,0)</f>
        <v/>
      </c>
    </row>
    <row r="349" customFormat="false" ht="13.8" hidden="false" customHeight="false" outlineLevel="0" collapsed="false">
      <c r="A349" s="3" t="n">
        <v>348</v>
      </c>
      <c r="B349" s="3" t="s">
        <v>806</v>
      </c>
      <c r="C349" s="3" t="s">
        <v>105</v>
      </c>
      <c r="D349" s="3" t="s">
        <v>61</v>
      </c>
      <c r="E349" s="25" t="s">
        <v>877</v>
      </c>
      <c r="F349" s="3" t="s">
        <v>150</v>
      </c>
      <c r="G349" s="3" t="s">
        <v>883</v>
      </c>
      <c r="K349" s="13" t="n">
        <f aca="false">_xlfn.IFS(F349="","", F349=C349,1, F349&lt;&gt;C349,0)</f>
        <v>0</v>
      </c>
      <c r="L349" s="13" t="n">
        <f aca="false">_xlfn.IFS(G349="","", G349=D349,1, G349&lt;&gt;D349,0)</f>
        <v>0</v>
      </c>
    </row>
    <row r="350" customFormat="false" ht="13.8" hidden="false" customHeight="false" outlineLevel="0" collapsed="false">
      <c r="A350" s="3" t="n">
        <v>349</v>
      </c>
      <c r="B350" s="3" t="s">
        <v>458</v>
      </c>
      <c r="C350" s="3" t="s">
        <v>143</v>
      </c>
      <c r="D350" s="3" t="s">
        <v>198</v>
      </c>
      <c r="E350" s="25" t="s">
        <v>877</v>
      </c>
      <c r="F350" s="3" t="s">
        <v>879</v>
      </c>
      <c r="G350" s="3"/>
      <c r="K350" s="13" t="n">
        <f aca="false">_xlfn.IFS(F350="","", F350=C350,1, F350&lt;&gt;C350,0)</f>
        <v>0</v>
      </c>
      <c r="L350" s="13" t="str">
        <f aca="false">_xlfn.IFS(G350="","", G350=D350,1, G350&lt;&gt;D350,0)</f>
        <v/>
      </c>
    </row>
    <row r="351" customFormat="false" ht="13.8" hidden="false" customHeight="false" outlineLevel="0" collapsed="false">
      <c r="A351" s="3" t="n">
        <v>350</v>
      </c>
      <c r="B351" s="3" t="s">
        <v>452</v>
      </c>
      <c r="C351" s="3" t="s">
        <v>105</v>
      </c>
      <c r="D351" s="3" t="s">
        <v>61</v>
      </c>
      <c r="E351" s="25" t="s">
        <v>874</v>
      </c>
      <c r="F351" s="3" t="s">
        <v>105</v>
      </c>
      <c r="G351" s="3" t="s">
        <v>61</v>
      </c>
      <c r="K351" s="13" t="n">
        <f aca="false">_xlfn.IFS(F351="","", F351=C351,1, F351&lt;&gt;C351,0)</f>
        <v>1</v>
      </c>
      <c r="L351" s="13" t="n">
        <f aca="false">_xlfn.IFS(G351="","", G351=D351,1, G351&lt;&gt;D351,0)</f>
        <v>1</v>
      </c>
    </row>
    <row r="352" customFormat="false" ht="13.8" hidden="false" customHeight="false" outlineLevel="0" collapsed="false">
      <c r="A352" s="3" t="n">
        <v>351</v>
      </c>
      <c r="B352" s="3" t="s">
        <v>768</v>
      </c>
      <c r="C352" s="3" t="s">
        <v>143</v>
      </c>
      <c r="D352" s="3" t="s">
        <v>351</v>
      </c>
      <c r="E352" s="25" t="s">
        <v>878</v>
      </c>
      <c r="F352" s="3"/>
      <c r="G352" s="3"/>
      <c r="K352" s="13" t="str">
        <f aca="false">_xlfn.IFS(F352="","", F352=C352,1, F352&lt;&gt;C352,0)</f>
        <v/>
      </c>
      <c r="L352" s="13" t="str">
        <f aca="false">_xlfn.IFS(G352="","", G352=D352,1, G352&lt;&gt;D352,0)</f>
        <v/>
      </c>
    </row>
    <row r="353" customFormat="false" ht="13.8" hidden="false" customHeight="false" outlineLevel="0" collapsed="false">
      <c r="A353" s="3" t="n">
        <v>352</v>
      </c>
      <c r="B353" s="3" t="s">
        <v>383</v>
      </c>
      <c r="C353" s="3" t="s">
        <v>143</v>
      </c>
      <c r="D353" s="3" t="s">
        <v>351</v>
      </c>
      <c r="E353" s="25" t="s">
        <v>877</v>
      </c>
      <c r="F353" s="3" t="s">
        <v>150</v>
      </c>
      <c r="G353" s="3" t="s">
        <v>63</v>
      </c>
      <c r="K353" s="13" t="n">
        <f aca="false">_xlfn.IFS(F353="","", F353=C353,1, F353&lt;&gt;C353,0)</f>
        <v>0</v>
      </c>
      <c r="L353" s="13" t="n">
        <f aca="false">_xlfn.IFS(G353="","", G353=D353,1, G353&lt;&gt;D353,0)</f>
        <v>0</v>
      </c>
    </row>
    <row r="354" customFormat="false" ht="13.8" hidden="false" customHeight="false" outlineLevel="0" collapsed="false">
      <c r="A354" s="3" t="n">
        <v>353</v>
      </c>
      <c r="B354" s="3" t="s">
        <v>291</v>
      </c>
      <c r="C354" s="3" t="s">
        <v>105</v>
      </c>
      <c r="D354" s="3" t="s">
        <v>61</v>
      </c>
      <c r="E354" s="25" t="s">
        <v>874</v>
      </c>
      <c r="F354" s="3" t="s">
        <v>105</v>
      </c>
      <c r="G354" s="3" t="s">
        <v>61</v>
      </c>
      <c r="K354" s="13" t="n">
        <f aca="false">_xlfn.IFS(F354="","", F354=C354,1, F354&lt;&gt;C354,0)</f>
        <v>1</v>
      </c>
      <c r="L354" s="13" t="n">
        <f aca="false">_xlfn.IFS(G354="","", G354=D354,1, G354&lt;&gt;D354,0)</f>
        <v>1</v>
      </c>
    </row>
    <row r="355" customFormat="false" ht="13.8" hidden="false" customHeight="false" outlineLevel="0" collapsed="false">
      <c r="A355" s="3" t="n">
        <v>354</v>
      </c>
      <c r="B355" s="3" t="s">
        <v>548</v>
      </c>
      <c r="C355" s="3" t="s">
        <v>105</v>
      </c>
      <c r="D355" s="3" t="s">
        <v>61</v>
      </c>
      <c r="E355" s="25" t="s">
        <v>877</v>
      </c>
      <c r="F355" s="3" t="s">
        <v>150</v>
      </c>
      <c r="G355" s="3" t="s">
        <v>63</v>
      </c>
      <c r="K355" s="13" t="n">
        <f aca="false">_xlfn.IFS(F355="","", F355=C355,1, F355&lt;&gt;C355,0)</f>
        <v>0</v>
      </c>
      <c r="L355" s="13" t="n">
        <f aca="false">_xlfn.IFS(G355="","", G355=D355,1, G355&lt;&gt;D355,0)</f>
        <v>0</v>
      </c>
    </row>
    <row r="356" customFormat="false" ht="13.8" hidden="false" customHeight="false" outlineLevel="0" collapsed="false">
      <c r="A356" s="3" t="n">
        <v>355</v>
      </c>
      <c r="B356" s="3" t="s">
        <v>520</v>
      </c>
      <c r="C356" s="3" t="s">
        <v>105</v>
      </c>
      <c r="D356" s="3" t="s">
        <v>61</v>
      </c>
      <c r="E356" s="25" t="s">
        <v>877</v>
      </c>
      <c r="F356" s="3" t="s">
        <v>150</v>
      </c>
      <c r="G356" s="3" t="s">
        <v>63</v>
      </c>
      <c r="K356" s="13" t="n">
        <f aca="false">_xlfn.IFS(F356="","", F356=C356,1, F356&lt;&gt;C356,0)</f>
        <v>0</v>
      </c>
      <c r="L356" s="13" t="n">
        <f aca="false">_xlfn.IFS(G356="","", G356=D356,1, G356&lt;&gt;D356,0)</f>
        <v>0</v>
      </c>
    </row>
    <row r="357" customFormat="false" ht="13.8" hidden="false" customHeight="false" outlineLevel="0" collapsed="false">
      <c r="A357" s="3" t="n">
        <v>356</v>
      </c>
      <c r="B357" s="3" t="s">
        <v>639</v>
      </c>
      <c r="C357" s="3" t="s">
        <v>105</v>
      </c>
      <c r="D357" s="3" t="s">
        <v>61</v>
      </c>
      <c r="E357" s="25" t="s">
        <v>874</v>
      </c>
      <c r="F357" s="3" t="s">
        <v>105</v>
      </c>
      <c r="G357" s="3" t="s">
        <v>61</v>
      </c>
      <c r="K357" s="13" t="n">
        <f aca="false">_xlfn.IFS(F357="","", F357=C357,1, F357&lt;&gt;C357,0)</f>
        <v>1</v>
      </c>
      <c r="L357" s="13" t="n">
        <f aca="false">_xlfn.IFS(G357="","", G357=D357,1, G357&lt;&gt;D357,0)</f>
        <v>1</v>
      </c>
    </row>
    <row r="358" customFormat="false" ht="13.8" hidden="false" customHeight="false" outlineLevel="0" collapsed="false">
      <c r="A358" s="3" t="n">
        <v>357</v>
      </c>
      <c r="B358" s="3" t="s">
        <v>244</v>
      </c>
      <c r="C358" s="3" t="s">
        <v>150</v>
      </c>
      <c r="D358" s="3" t="s">
        <v>83</v>
      </c>
      <c r="E358" s="25" t="s">
        <v>874</v>
      </c>
      <c r="F358" s="3" t="s">
        <v>105</v>
      </c>
      <c r="G358" s="3" t="s">
        <v>61</v>
      </c>
      <c r="K358" s="13" t="n">
        <f aca="false">_xlfn.IFS(F358="","", F358=C358,1, F358&lt;&gt;C358,0)</f>
        <v>0</v>
      </c>
      <c r="L358" s="13" t="n">
        <f aca="false">_xlfn.IFS(G358="","", G358=D358,1, G358&lt;&gt;D358,0)</f>
        <v>0</v>
      </c>
    </row>
    <row r="359" customFormat="false" ht="13.8" hidden="false" customHeight="false" outlineLevel="0" collapsed="false">
      <c r="A359" s="3" t="n">
        <v>358</v>
      </c>
      <c r="B359" s="3" t="s">
        <v>611</v>
      </c>
      <c r="C359" s="3" t="s">
        <v>105</v>
      </c>
      <c r="D359" s="3" t="s">
        <v>61</v>
      </c>
      <c r="E359" s="25" t="s">
        <v>874</v>
      </c>
      <c r="F359" s="3" t="s">
        <v>105</v>
      </c>
      <c r="G359" s="3" t="s">
        <v>61</v>
      </c>
      <c r="K359" s="13" t="n">
        <f aca="false">_xlfn.IFS(F359="","", F359=C359,1, F359&lt;&gt;C359,0)</f>
        <v>1</v>
      </c>
      <c r="L359" s="13" t="n">
        <f aca="false">_xlfn.IFS(G359="","", G359=D359,1, G359&lt;&gt;D359,0)</f>
        <v>1</v>
      </c>
    </row>
    <row r="360" customFormat="false" ht="13.8" hidden="false" customHeight="false" outlineLevel="0" collapsed="false">
      <c r="A360" s="3" t="n">
        <v>359</v>
      </c>
      <c r="B360" s="3" t="s">
        <v>826</v>
      </c>
      <c r="C360" s="3" t="s">
        <v>143</v>
      </c>
      <c r="D360" s="3" t="s">
        <v>288</v>
      </c>
      <c r="E360" s="25" t="s">
        <v>874</v>
      </c>
      <c r="F360" s="3" t="s">
        <v>105</v>
      </c>
      <c r="G360" s="3" t="s">
        <v>61</v>
      </c>
      <c r="K360" s="13" t="n">
        <f aca="false">_xlfn.IFS(F360="","", F360=C360,1, F360&lt;&gt;C360,0)</f>
        <v>0</v>
      </c>
      <c r="L360" s="13" t="n">
        <f aca="false">_xlfn.IFS(G360="","", G360=D360,1, G360&lt;&gt;D360,0)</f>
        <v>0</v>
      </c>
    </row>
    <row r="361" customFormat="false" ht="13.8" hidden="false" customHeight="false" outlineLevel="0" collapsed="false">
      <c r="A361" s="3" t="n">
        <v>360</v>
      </c>
      <c r="B361" s="3" t="s">
        <v>292</v>
      </c>
      <c r="C361" s="3" t="s">
        <v>105</v>
      </c>
      <c r="D361" s="3" t="s">
        <v>61</v>
      </c>
      <c r="E361" s="25" t="s">
        <v>874</v>
      </c>
      <c r="F361" s="3" t="s">
        <v>105</v>
      </c>
      <c r="G361" s="3" t="s">
        <v>61</v>
      </c>
      <c r="K361" s="13" t="n">
        <f aca="false">_xlfn.IFS(F361="","", F361=C361,1, F361&lt;&gt;C361,0)</f>
        <v>1</v>
      </c>
      <c r="L361" s="13" t="n">
        <f aca="false">_xlfn.IFS(G361="","", G361=D361,1, G361&lt;&gt;D361,0)</f>
        <v>1</v>
      </c>
    </row>
    <row r="362" customFormat="false" ht="13.8" hidden="false" customHeight="false" outlineLevel="0" collapsed="false">
      <c r="A362" s="3" t="n">
        <v>361</v>
      </c>
      <c r="B362" s="3" t="s">
        <v>696</v>
      </c>
      <c r="C362" s="3" t="s">
        <v>143</v>
      </c>
      <c r="D362" s="3" t="s">
        <v>288</v>
      </c>
      <c r="E362" s="25" t="s">
        <v>877</v>
      </c>
      <c r="F362" s="3" t="s">
        <v>150</v>
      </c>
      <c r="G362" s="3" t="s">
        <v>884</v>
      </c>
      <c r="K362" s="13" t="n">
        <f aca="false">_xlfn.IFS(F362="","", F362=C362,1, F362&lt;&gt;C362,0)</f>
        <v>0</v>
      </c>
      <c r="L362" s="13" t="n">
        <f aca="false">_xlfn.IFS(G362="","", G362=D362,1, G362&lt;&gt;D362,0)</f>
        <v>0</v>
      </c>
    </row>
    <row r="363" customFormat="false" ht="13.8" hidden="false" customHeight="false" outlineLevel="0" collapsed="false">
      <c r="A363" s="3" t="n">
        <v>362</v>
      </c>
      <c r="B363" s="3" t="s">
        <v>777</v>
      </c>
      <c r="C363" s="3" t="s">
        <v>105</v>
      </c>
      <c r="D363" s="3" t="s">
        <v>61</v>
      </c>
      <c r="E363" s="25" t="s">
        <v>874</v>
      </c>
      <c r="F363" s="3" t="s">
        <v>105</v>
      </c>
      <c r="G363" s="3" t="s">
        <v>61</v>
      </c>
      <c r="K363" s="13" t="n">
        <f aca="false">_xlfn.IFS(F363="","", F363=C363,1, F363&lt;&gt;C363,0)</f>
        <v>1</v>
      </c>
      <c r="L363" s="13" t="n">
        <f aca="false">_xlfn.IFS(G363="","", G363=D363,1, G363&lt;&gt;D363,0)</f>
        <v>1</v>
      </c>
    </row>
    <row r="364" customFormat="false" ht="13.8" hidden="false" customHeight="false" outlineLevel="0" collapsed="false">
      <c r="A364" s="3" t="n">
        <v>363</v>
      </c>
      <c r="B364" s="3" t="s">
        <v>701</v>
      </c>
      <c r="C364" s="3" t="s">
        <v>105</v>
      </c>
      <c r="D364" s="3" t="s">
        <v>61</v>
      </c>
      <c r="E364" s="25" t="s">
        <v>877</v>
      </c>
      <c r="F364" s="3" t="s">
        <v>879</v>
      </c>
      <c r="G364" s="3"/>
      <c r="K364" s="13" t="n">
        <f aca="false">_xlfn.IFS(F364="","", F364=C364,1, F364&lt;&gt;C364,0)</f>
        <v>0</v>
      </c>
      <c r="L364" s="13" t="str">
        <f aca="false">_xlfn.IFS(G364="","", G364=D364,1, G364&lt;&gt;D364,0)</f>
        <v/>
      </c>
    </row>
    <row r="365" customFormat="false" ht="13.8" hidden="false" customHeight="false" outlineLevel="0" collapsed="false">
      <c r="A365" s="3" t="n">
        <v>364</v>
      </c>
      <c r="B365" s="3" t="s">
        <v>723</v>
      </c>
      <c r="C365" s="3" t="s">
        <v>105</v>
      </c>
      <c r="D365" s="3" t="s">
        <v>61</v>
      </c>
      <c r="E365" s="25" t="s">
        <v>874</v>
      </c>
      <c r="F365" s="3" t="s">
        <v>105</v>
      </c>
      <c r="G365" s="3" t="s">
        <v>61</v>
      </c>
      <c r="K365" s="13" t="n">
        <f aca="false">_xlfn.IFS(F365="","", F365=C365,1, F365&lt;&gt;C365,0)</f>
        <v>1</v>
      </c>
      <c r="L365" s="13" t="n">
        <f aca="false">_xlfn.IFS(G365="","", G365=D365,1, G365&lt;&gt;D365,0)</f>
        <v>1</v>
      </c>
    </row>
    <row r="366" customFormat="false" ht="13.8" hidden="false" customHeight="false" outlineLevel="0" collapsed="false">
      <c r="A366" s="3" t="n">
        <v>365</v>
      </c>
      <c r="B366" s="3" t="s">
        <v>320</v>
      </c>
      <c r="C366" s="3" t="s">
        <v>143</v>
      </c>
      <c r="D366" s="3" t="s">
        <v>256</v>
      </c>
      <c r="E366" s="25" t="s">
        <v>874</v>
      </c>
      <c r="F366" s="3" t="s">
        <v>105</v>
      </c>
      <c r="G366" s="3" t="s">
        <v>61</v>
      </c>
      <c r="K366" s="13" t="n">
        <f aca="false">_xlfn.IFS(F366="","", F366=C366,1, F366&lt;&gt;C366,0)</f>
        <v>0</v>
      </c>
      <c r="L366" s="13" t="n">
        <f aca="false">_xlfn.IFS(G366="","", G366=D366,1, G366&lt;&gt;D366,0)</f>
        <v>0</v>
      </c>
    </row>
    <row r="367" customFormat="false" ht="13.8" hidden="false" customHeight="false" outlineLevel="0" collapsed="false">
      <c r="A367" s="3" t="n">
        <v>366</v>
      </c>
      <c r="B367" s="3" t="s">
        <v>376</v>
      </c>
      <c r="C367" s="3" t="s">
        <v>143</v>
      </c>
      <c r="D367" s="3" t="s">
        <v>256</v>
      </c>
      <c r="E367" s="25" t="s">
        <v>877</v>
      </c>
      <c r="F367" s="3" t="s">
        <v>150</v>
      </c>
      <c r="G367" s="3" t="s">
        <v>63</v>
      </c>
      <c r="K367" s="13" t="n">
        <f aca="false">_xlfn.IFS(F367="","", F367=C367,1, F367&lt;&gt;C367,0)</f>
        <v>0</v>
      </c>
      <c r="L367" s="13" t="n">
        <f aca="false">_xlfn.IFS(G367="","", G367=D367,1, G367&lt;&gt;D367,0)</f>
        <v>0</v>
      </c>
    </row>
    <row r="368" customFormat="false" ht="13.8" hidden="false" customHeight="false" outlineLevel="0" collapsed="false">
      <c r="A368" s="3" t="n">
        <v>367</v>
      </c>
      <c r="B368" s="3" t="s">
        <v>860</v>
      </c>
      <c r="C368" s="3" t="s">
        <v>105</v>
      </c>
      <c r="D368" s="3" t="s">
        <v>61</v>
      </c>
      <c r="E368" s="25" t="s">
        <v>874</v>
      </c>
      <c r="F368" s="3" t="s">
        <v>105</v>
      </c>
      <c r="G368" s="3"/>
      <c r="K368" s="13" t="n">
        <f aca="false">_xlfn.IFS(F368="","", F368=C368,1, F368&lt;&gt;C368,0)</f>
        <v>1</v>
      </c>
      <c r="L368" s="13" t="str">
        <f aca="false">_xlfn.IFS(G368="","", G368=D368,1, G368&lt;&gt;D368,0)</f>
        <v/>
      </c>
    </row>
    <row r="369" customFormat="false" ht="13.8" hidden="false" customHeight="false" outlineLevel="0" collapsed="false">
      <c r="A369" s="3" t="n">
        <v>368</v>
      </c>
      <c r="B369" s="3" t="s">
        <v>549</v>
      </c>
      <c r="C369" s="3" t="s">
        <v>105</v>
      </c>
      <c r="D369" s="3" t="s">
        <v>61</v>
      </c>
      <c r="E369" s="25" t="s">
        <v>874</v>
      </c>
      <c r="F369" s="3" t="s">
        <v>105</v>
      </c>
      <c r="G369" s="3" t="s">
        <v>61</v>
      </c>
      <c r="K369" s="13" t="n">
        <f aca="false">_xlfn.IFS(F369="","", F369=C369,1, F369&lt;&gt;C369,0)</f>
        <v>1</v>
      </c>
      <c r="L369" s="13" t="n">
        <f aca="false">_xlfn.IFS(G369="","", G369=D369,1, G369&lt;&gt;D369,0)</f>
        <v>1</v>
      </c>
    </row>
    <row r="370" customFormat="false" ht="13.8" hidden="false" customHeight="false" outlineLevel="0" collapsed="false">
      <c r="A370" s="3" t="n">
        <v>369</v>
      </c>
      <c r="B370" s="3" t="s">
        <v>688</v>
      </c>
      <c r="C370" s="3" t="s">
        <v>105</v>
      </c>
      <c r="D370" s="3" t="s">
        <v>61</v>
      </c>
      <c r="E370" s="25" t="s">
        <v>874</v>
      </c>
      <c r="F370" s="3" t="s">
        <v>105</v>
      </c>
      <c r="G370" s="3" t="s">
        <v>61</v>
      </c>
      <c r="K370" s="13" t="n">
        <f aca="false">_xlfn.IFS(F370="","", F370=C370,1, F370&lt;&gt;C370,0)</f>
        <v>1</v>
      </c>
      <c r="L370" s="13" t="n">
        <f aca="false">_xlfn.IFS(G370="","", G370=D370,1, G370&lt;&gt;D370,0)</f>
        <v>1</v>
      </c>
    </row>
    <row r="371" customFormat="false" ht="13.8" hidden="false" customHeight="false" outlineLevel="0" collapsed="false">
      <c r="A371" s="3" t="n">
        <v>370</v>
      </c>
      <c r="B371" s="3" t="s">
        <v>593</v>
      </c>
      <c r="C371" s="3" t="s">
        <v>143</v>
      </c>
      <c r="D371" s="3" t="s">
        <v>198</v>
      </c>
      <c r="E371" s="25" t="s">
        <v>877</v>
      </c>
      <c r="F371" s="3" t="s">
        <v>879</v>
      </c>
      <c r="G371" s="3"/>
      <c r="K371" s="13" t="n">
        <f aca="false">_xlfn.IFS(F371="","", F371=C371,1, F371&lt;&gt;C371,0)</f>
        <v>0</v>
      </c>
      <c r="L371" s="13" t="str">
        <f aca="false">_xlfn.IFS(G371="","", G371=D371,1, G371&lt;&gt;D371,0)</f>
        <v/>
      </c>
    </row>
    <row r="372" customFormat="false" ht="13.8" hidden="false" customHeight="false" outlineLevel="0" collapsed="false">
      <c r="A372" s="3" t="n">
        <v>371</v>
      </c>
      <c r="B372" s="3" t="s">
        <v>834</v>
      </c>
      <c r="C372" s="3" t="s">
        <v>105</v>
      </c>
      <c r="D372" s="3" t="s">
        <v>61</v>
      </c>
      <c r="E372" s="25" t="s">
        <v>877</v>
      </c>
      <c r="F372" s="3" t="s">
        <v>879</v>
      </c>
      <c r="G372" s="3"/>
      <c r="K372" s="13" t="n">
        <f aca="false">_xlfn.IFS(F372="","", F372=C372,1, F372&lt;&gt;C372,0)</f>
        <v>0</v>
      </c>
      <c r="L372" s="13" t="str">
        <f aca="false">_xlfn.IFS(G372="","", G372=D372,1, G372&lt;&gt;D372,0)</f>
        <v/>
      </c>
    </row>
    <row r="373" customFormat="false" ht="13.8" hidden="false" customHeight="false" outlineLevel="0" collapsed="false">
      <c r="A373" s="3" t="n">
        <v>372</v>
      </c>
      <c r="B373" s="3" t="s">
        <v>704</v>
      </c>
      <c r="C373" s="3" t="s">
        <v>105</v>
      </c>
      <c r="D373" s="3" t="s">
        <v>61</v>
      </c>
      <c r="E373" s="25" t="s">
        <v>874</v>
      </c>
      <c r="F373" s="3" t="s">
        <v>105</v>
      </c>
      <c r="G373" s="3" t="s">
        <v>55</v>
      </c>
      <c r="K373" s="13" t="n">
        <f aca="false">_xlfn.IFS(F373="","", F373=C373,1, F373&lt;&gt;C373,0)</f>
        <v>1</v>
      </c>
      <c r="L373" s="13" t="n">
        <f aca="false">_xlfn.IFS(G373="","", G373=D373,1, G373&lt;&gt;D373,0)</f>
        <v>0</v>
      </c>
    </row>
    <row r="374" customFormat="false" ht="13.8" hidden="false" customHeight="false" outlineLevel="0" collapsed="false">
      <c r="A374" s="3" t="n">
        <v>373</v>
      </c>
      <c r="B374" s="3" t="s">
        <v>753</v>
      </c>
      <c r="C374" s="3" t="s">
        <v>105</v>
      </c>
      <c r="D374" s="3" t="s">
        <v>61</v>
      </c>
      <c r="E374" s="25" t="s">
        <v>877</v>
      </c>
      <c r="F374" s="3" t="s">
        <v>879</v>
      </c>
      <c r="G374" s="3"/>
      <c r="K374" s="13" t="n">
        <f aca="false">_xlfn.IFS(F374="","", F374=C374,1, F374&lt;&gt;C374,0)</f>
        <v>0</v>
      </c>
      <c r="L374" s="13" t="str">
        <f aca="false">_xlfn.IFS(G374="","", G374=D374,1, G374&lt;&gt;D374,0)</f>
        <v/>
      </c>
    </row>
    <row r="375" customFormat="false" ht="13.8" hidden="false" customHeight="false" outlineLevel="0" collapsed="false">
      <c r="A375" s="3" t="n">
        <v>374</v>
      </c>
      <c r="B375" s="3" t="s">
        <v>850</v>
      </c>
      <c r="C375" s="3" t="s">
        <v>105</v>
      </c>
      <c r="D375" s="3" t="s">
        <v>61</v>
      </c>
      <c r="E375" s="25" t="s">
        <v>877</v>
      </c>
      <c r="F375" s="3" t="s">
        <v>150</v>
      </c>
      <c r="G375" s="3" t="s">
        <v>63</v>
      </c>
      <c r="K375" s="13" t="n">
        <f aca="false">_xlfn.IFS(F375="","", F375=C375,1, F375&lt;&gt;C375,0)</f>
        <v>0</v>
      </c>
      <c r="L375" s="13" t="n">
        <f aca="false">_xlfn.IFS(G375="","", G375=D375,1, G375&lt;&gt;D375,0)</f>
        <v>0</v>
      </c>
    </row>
    <row r="376" customFormat="false" ht="13.8" hidden="false" customHeight="false" outlineLevel="0" collapsed="false">
      <c r="A376" s="3" t="n">
        <v>375</v>
      </c>
      <c r="B376" s="3" t="s">
        <v>479</v>
      </c>
      <c r="C376" s="3" t="s">
        <v>143</v>
      </c>
      <c r="D376" s="3" t="s">
        <v>288</v>
      </c>
      <c r="E376" s="25" t="s">
        <v>874</v>
      </c>
      <c r="F376" s="3" t="s">
        <v>105</v>
      </c>
      <c r="G376" s="3" t="s">
        <v>61</v>
      </c>
      <c r="K376" s="13" t="n">
        <f aca="false">_xlfn.IFS(F376="","", F376=C376,1, F376&lt;&gt;C376,0)</f>
        <v>0</v>
      </c>
      <c r="L376" s="13" t="n">
        <f aca="false">_xlfn.IFS(G376="","", G376=D376,1, G376&lt;&gt;D376,0)</f>
        <v>0</v>
      </c>
    </row>
    <row r="377" customFormat="false" ht="13.8" hidden="false" customHeight="false" outlineLevel="0" collapsed="false">
      <c r="A377" s="3" t="n">
        <v>376</v>
      </c>
      <c r="B377" s="3" t="s">
        <v>615</v>
      </c>
      <c r="C377" s="3" t="s">
        <v>143</v>
      </c>
      <c r="D377" s="3" t="s">
        <v>616</v>
      </c>
      <c r="E377" s="25" t="s">
        <v>877</v>
      </c>
      <c r="F377" s="3" t="s">
        <v>150</v>
      </c>
      <c r="G377" s="3" t="s">
        <v>63</v>
      </c>
      <c r="K377" s="13" t="n">
        <f aca="false">_xlfn.IFS(F377="","", F377=C377,1, F377&lt;&gt;C377,0)</f>
        <v>0</v>
      </c>
      <c r="L377" s="13" t="n">
        <f aca="false">_xlfn.IFS(G377="","", G377=D377,1, G377&lt;&gt;D377,0)</f>
        <v>0</v>
      </c>
    </row>
    <row r="378" customFormat="false" ht="13.8" hidden="false" customHeight="false" outlineLevel="0" collapsed="false">
      <c r="A378" s="3" t="n">
        <v>377</v>
      </c>
      <c r="B378" s="3" t="s">
        <v>748</v>
      </c>
      <c r="C378" s="3" t="s">
        <v>105</v>
      </c>
      <c r="D378" s="3" t="s">
        <v>61</v>
      </c>
      <c r="E378" s="25" t="s">
        <v>877</v>
      </c>
      <c r="F378" s="3" t="s">
        <v>879</v>
      </c>
      <c r="G378" s="3"/>
      <c r="K378" s="13" t="n">
        <f aca="false">_xlfn.IFS(F378="","", F378=C378,1, F378&lt;&gt;C378,0)</f>
        <v>0</v>
      </c>
      <c r="L378" s="13" t="str">
        <f aca="false">_xlfn.IFS(G378="","", G378=D378,1, G378&lt;&gt;D378,0)</f>
        <v/>
      </c>
    </row>
    <row r="379" customFormat="false" ht="13.8" hidden="false" customHeight="false" outlineLevel="0" collapsed="false">
      <c r="A379" s="3" t="n">
        <v>378</v>
      </c>
      <c r="B379" s="3" t="s">
        <v>728</v>
      </c>
      <c r="C379" s="3" t="s">
        <v>105</v>
      </c>
      <c r="D379" s="3" t="s">
        <v>55</v>
      </c>
      <c r="E379" s="25" t="s">
        <v>874</v>
      </c>
      <c r="F379" s="3" t="s">
        <v>105</v>
      </c>
      <c r="G379" s="3" t="s">
        <v>61</v>
      </c>
      <c r="K379" s="13" t="n">
        <f aca="false">_xlfn.IFS(F379="","", F379=C379,1, F379&lt;&gt;C379,0)</f>
        <v>1</v>
      </c>
      <c r="L379" s="13" t="n">
        <f aca="false">_xlfn.IFS(G379="","", G379=D379,1, G379&lt;&gt;D379,0)</f>
        <v>0</v>
      </c>
    </row>
    <row r="380" customFormat="false" ht="13.8" hidden="false" customHeight="false" outlineLevel="0" collapsed="false">
      <c r="A380" s="3" t="n">
        <v>379</v>
      </c>
      <c r="B380" s="3" t="s">
        <v>719</v>
      </c>
      <c r="C380" s="3" t="s">
        <v>143</v>
      </c>
      <c r="D380" s="3" t="s">
        <v>351</v>
      </c>
      <c r="E380" s="25" t="s">
        <v>878</v>
      </c>
      <c r="F380" s="3"/>
      <c r="G380" s="3"/>
      <c r="K380" s="13" t="str">
        <f aca="false">_xlfn.IFS(F380="","", F380=C380,1, F380&lt;&gt;C380,0)</f>
        <v/>
      </c>
      <c r="L380" s="13" t="str">
        <f aca="false">_xlfn.IFS(G380="","", G380=D380,1, G380&lt;&gt;D380,0)</f>
        <v/>
      </c>
    </row>
    <row r="381" customFormat="false" ht="13.8" hidden="false" customHeight="false" outlineLevel="0" collapsed="false">
      <c r="A381" s="3" t="n">
        <v>380</v>
      </c>
      <c r="B381" s="3" t="s">
        <v>683</v>
      </c>
      <c r="C381" s="3" t="s">
        <v>105</v>
      </c>
      <c r="D381" s="3" t="s">
        <v>61</v>
      </c>
      <c r="E381" s="25" t="s">
        <v>877</v>
      </c>
      <c r="F381" s="3" t="s">
        <v>150</v>
      </c>
      <c r="G381" s="3" t="s">
        <v>63</v>
      </c>
      <c r="K381" s="13" t="n">
        <f aca="false">_xlfn.IFS(F381="","", F381=C381,1, F381&lt;&gt;C381,0)</f>
        <v>0</v>
      </c>
      <c r="L381" s="13" t="n">
        <f aca="false">_xlfn.IFS(G381="","", G381=D381,1, G381&lt;&gt;D381,0)</f>
        <v>0</v>
      </c>
    </row>
    <row r="382" customFormat="false" ht="13.8" hidden="false" customHeight="false" outlineLevel="0" collapsed="false">
      <c r="A382" s="3" t="n">
        <v>381</v>
      </c>
      <c r="B382" s="3" t="s">
        <v>559</v>
      </c>
      <c r="C382" s="3" t="s">
        <v>143</v>
      </c>
      <c r="D382" s="3" t="s">
        <v>288</v>
      </c>
      <c r="E382" s="25" t="s">
        <v>877</v>
      </c>
      <c r="F382" s="3" t="s">
        <v>150</v>
      </c>
      <c r="G382" s="3" t="s">
        <v>63</v>
      </c>
      <c r="K382" s="13" t="n">
        <f aca="false">_xlfn.IFS(F382="","", F382=C382,1, F382&lt;&gt;C382,0)</f>
        <v>0</v>
      </c>
      <c r="L382" s="13" t="n">
        <f aca="false">_xlfn.IFS(G382="","", G382=D382,1, G382&lt;&gt;D382,0)</f>
        <v>0</v>
      </c>
    </row>
    <row r="383" customFormat="false" ht="13.8" hidden="false" customHeight="false" outlineLevel="0" collapsed="false">
      <c r="A383" s="3" t="n">
        <v>382</v>
      </c>
      <c r="B383" s="3" t="s">
        <v>384</v>
      </c>
      <c r="C383" s="3" t="s">
        <v>150</v>
      </c>
      <c r="D383" s="3" t="s">
        <v>83</v>
      </c>
      <c r="E383" s="25" t="s">
        <v>874</v>
      </c>
      <c r="F383" s="3" t="s">
        <v>105</v>
      </c>
      <c r="G383" s="3" t="s">
        <v>61</v>
      </c>
      <c r="K383" s="13" t="n">
        <f aca="false">_xlfn.IFS(F383="","", F383=C383,1, F383&lt;&gt;C383,0)</f>
        <v>0</v>
      </c>
      <c r="L383" s="13" t="n">
        <f aca="false">_xlfn.IFS(G383="","", G383=D383,1, G383&lt;&gt;D383,0)</f>
        <v>0</v>
      </c>
    </row>
    <row r="384" customFormat="false" ht="13.8" hidden="false" customHeight="false" outlineLevel="0" collapsed="false">
      <c r="A384" s="3" t="n">
        <v>383</v>
      </c>
      <c r="B384" s="3" t="s">
        <v>791</v>
      </c>
      <c r="C384" s="3" t="s">
        <v>105</v>
      </c>
      <c r="D384" s="3" t="s">
        <v>55</v>
      </c>
      <c r="E384" s="25" t="s">
        <v>878</v>
      </c>
      <c r="F384" s="3"/>
      <c r="G384" s="3"/>
      <c r="K384" s="13" t="str">
        <f aca="false">_xlfn.IFS(F384="","", F384=C384,1, F384&lt;&gt;C384,0)</f>
        <v/>
      </c>
      <c r="L384" s="13" t="str">
        <f aca="false">_xlfn.IFS(G384="","", G384=D384,1, G384&lt;&gt;D384,0)</f>
        <v/>
      </c>
    </row>
    <row r="385" customFormat="false" ht="13.8" hidden="false" customHeight="false" outlineLevel="0" collapsed="false">
      <c r="A385" s="3" t="n">
        <v>384</v>
      </c>
      <c r="B385" s="3" t="s">
        <v>774</v>
      </c>
      <c r="C385" s="3" t="s">
        <v>105</v>
      </c>
      <c r="D385" s="3" t="s">
        <v>77</v>
      </c>
      <c r="E385" s="25" t="s">
        <v>877</v>
      </c>
      <c r="F385" s="3" t="s">
        <v>879</v>
      </c>
      <c r="G385" s="3"/>
      <c r="K385" s="13" t="n">
        <f aca="false">_xlfn.IFS(F385="","", F385=C385,1, F385&lt;&gt;C385,0)</f>
        <v>0</v>
      </c>
      <c r="L385" s="13" t="str">
        <f aca="false">_xlfn.IFS(G385="","", G385=D385,1, G385&lt;&gt;D385,0)</f>
        <v/>
      </c>
    </row>
    <row r="386" customFormat="false" ht="13.8" hidden="false" customHeight="false" outlineLevel="0" collapsed="false">
      <c r="A386" s="3" t="n">
        <v>385</v>
      </c>
      <c r="B386" s="3" t="s">
        <v>529</v>
      </c>
      <c r="C386" s="3" t="s">
        <v>105</v>
      </c>
      <c r="D386" s="3" t="s">
        <v>61</v>
      </c>
      <c r="E386" s="25" t="s">
        <v>874</v>
      </c>
      <c r="F386" s="3" t="s">
        <v>105</v>
      </c>
      <c r="G386" s="3" t="s">
        <v>61</v>
      </c>
      <c r="K386" s="13" t="n">
        <f aca="false">_xlfn.IFS(F386="","", F386=C386,1, F386&lt;&gt;C386,0)</f>
        <v>1</v>
      </c>
      <c r="L386" s="13" t="n">
        <f aca="false">_xlfn.IFS(G386="","", G386=D386,1, G386&lt;&gt;D386,0)</f>
        <v>1</v>
      </c>
    </row>
    <row r="387" customFormat="false" ht="13.8" hidden="false" customHeight="false" outlineLevel="0" collapsed="false">
      <c r="A387" s="3" t="n">
        <v>386</v>
      </c>
      <c r="B387" s="3" t="s">
        <v>620</v>
      </c>
      <c r="C387" s="3" t="s">
        <v>105</v>
      </c>
      <c r="D387" s="3" t="s">
        <v>61</v>
      </c>
      <c r="E387" s="25" t="s">
        <v>877</v>
      </c>
      <c r="F387" s="3" t="s">
        <v>879</v>
      </c>
      <c r="G387" s="3"/>
      <c r="K387" s="13" t="n">
        <f aca="false">_xlfn.IFS(F387="","", F387=C387,1, F387&lt;&gt;C387,0)</f>
        <v>0</v>
      </c>
      <c r="L387" s="13" t="str">
        <f aca="false">_xlfn.IFS(G387="","", G387=D387,1, G387&lt;&gt;D387,0)</f>
        <v/>
      </c>
    </row>
    <row r="388" customFormat="false" ht="13.8" hidden="false" customHeight="false" outlineLevel="0" collapsed="false">
      <c r="A388" s="3" t="n">
        <v>387</v>
      </c>
      <c r="B388" s="3" t="s">
        <v>707</v>
      </c>
      <c r="C388" s="3" t="s">
        <v>105</v>
      </c>
      <c r="D388" s="3" t="s">
        <v>61</v>
      </c>
      <c r="E388" s="25" t="s">
        <v>877</v>
      </c>
      <c r="F388" s="3" t="s">
        <v>879</v>
      </c>
      <c r="G388" s="3"/>
      <c r="K388" s="13" t="n">
        <f aca="false">_xlfn.IFS(F388="","", F388=C388,1, F388&lt;&gt;C388,0)</f>
        <v>0</v>
      </c>
      <c r="L388" s="13" t="str">
        <f aca="false">_xlfn.IFS(G388="","", G388=D388,1, G388&lt;&gt;D388,0)</f>
        <v/>
      </c>
    </row>
    <row r="389" customFormat="false" ht="13.8" hidden="false" customHeight="false" outlineLevel="0" collapsed="false">
      <c r="A389" s="3" t="n">
        <v>388</v>
      </c>
      <c r="B389" s="3" t="s">
        <v>148</v>
      </c>
      <c r="C389" s="3" t="s">
        <v>105</v>
      </c>
      <c r="D389" s="3" t="s">
        <v>61</v>
      </c>
      <c r="E389" s="25" t="s">
        <v>874</v>
      </c>
      <c r="F389" s="3" t="s">
        <v>105</v>
      </c>
      <c r="G389" s="3" t="s">
        <v>55</v>
      </c>
      <c r="K389" s="13" t="n">
        <f aca="false">_xlfn.IFS(F389="","", F389=C389,1, F389&lt;&gt;C389,0)</f>
        <v>1</v>
      </c>
      <c r="L389" s="13" t="n">
        <f aca="false">_xlfn.IFS(G389="","", G389=D389,1, G389&lt;&gt;D389,0)</f>
        <v>0</v>
      </c>
    </row>
    <row r="390" customFormat="false" ht="13.8" hidden="false" customHeight="false" outlineLevel="0" collapsed="false">
      <c r="A390" s="3" t="n">
        <v>389</v>
      </c>
      <c r="B390" s="3" t="s">
        <v>413</v>
      </c>
      <c r="C390" s="3" t="s">
        <v>150</v>
      </c>
      <c r="D390" s="3" t="s">
        <v>83</v>
      </c>
      <c r="E390" s="25" t="s">
        <v>874</v>
      </c>
      <c r="F390" s="3" t="s">
        <v>105</v>
      </c>
      <c r="G390" s="3" t="s">
        <v>61</v>
      </c>
      <c r="K390" s="13" t="n">
        <f aca="false">_xlfn.IFS(F390="","", F390=C390,1, F390&lt;&gt;C390,0)</f>
        <v>0</v>
      </c>
      <c r="L390" s="13" t="n">
        <f aca="false">_xlfn.IFS(G390="","", G390=D390,1, G390&lt;&gt;D390,0)</f>
        <v>0</v>
      </c>
    </row>
    <row r="391" customFormat="false" ht="13.8" hidden="false" customHeight="false" outlineLevel="0" collapsed="false">
      <c r="A391" s="3" t="n">
        <v>390</v>
      </c>
      <c r="B391" s="3" t="s">
        <v>505</v>
      </c>
      <c r="C391" s="3" t="s">
        <v>105</v>
      </c>
      <c r="D391" s="3" t="s">
        <v>61</v>
      </c>
      <c r="E391" s="25" t="s">
        <v>874</v>
      </c>
      <c r="F391" s="3" t="s">
        <v>105</v>
      </c>
      <c r="G391" s="3" t="s">
        <v>61</v>
      </c>
      <c r="K391" s="13" t="n">
        <f aca="false">_xlfn.IFS(F391="","", F391=C391,1, F391&lt;&gt;C391,0)</f>
        <v>1</v>
      </c>
      <c r="L391" s="13" t="n">
        <f aca="false">_xlfn.IFS(G391="","", G391=D391,1, G391&lt;&gt;D391,0)</f>
        <v>1</v>
      </c>
    </row>
    <row r="392" customFormat="false" ht="13.8" hidden="false" customHeight="false" outlineLevel="0" collapsed="false">
      <c r="A392" s="3" t="n">
        <v>391</v>
      </c>
      <c r="B392" s="3" t="s">
        <v>350</v>
      </c>
      <c r="C392" s="3" t="s">
        <v>143</v>
      </c>
      <c r="D392" s="3" t="s">
        <v>351</v>
      </c>
      <c r="E392" s="25" t="s">
        <v>874</v>
      </c>
      <c r="F392" s="3" t="s">
        <v>105</v>
      </c>
      <c r="G392" s="3" t="s">
        <v>61</v>
      </c>
      <c r="K392" s="13" t="n">
        <f aca="false">_xlfn.IFS(F392="","", F392=C392,1, F392&lt;&gt;C392,0)</f>
        <v>0</v>
      </c>
      <c r="L392" s="13" t="n">
        <f aca="false">_xlfn.IFS(G392="","", G392=D392,1, G392&lt;&gt;D392,0)</f>
        <v>0</v>
      </c>
    </row>
    <row r="393" customFormat="false" ht="13.8" hidden="false" customHeight="false" outlineLevel="0" collapsed="false">
      <c r="A393" s="3" t="n">
        <v>392</v>
      </c>
      <c r="B393" s="3" t="s">
        <v>847</v>
      </c>
      <c r="C393" s="3" t="s">
        <v>105</v>
      </c>
      <c r="D393" s="3" t="s">
        <v>61</v>
      </c>
      <c r="E393" s="25" t="s">
        <v>874</v>
      </c>
      <c r="F393" s="3" t="s">
        <v>105</v>
      </c>
      <c r="G393" s="3" t="s">
        <v>61</v>
      </c>
      <c r="K393" s="13" t="n">
        <f aca="false">_xlfn.IFS(F393="","", F393=C393,1, F393&lt;&gt;C393,0)</f>
        <v>1</v>
      </c>
      <c r="L393" s="13" t="n">
        <f aca="false">_xlfn.IFS(G393="","", G393=D393,1, G393&lt;&gt;D393,0)</f>
        <v>1</v>
      </c>
    </row>
    <row r="394" customFormat="false" ht="13.8" hidden="false" customHeight="false" outlineLevel="0" collapsed="false">
      <c r="A394" s="3" t="n">
        <v>393</v>
      </c>
      <c r="B394" s="3" t="s">
        <v>833</v>
      </c>
      <c r="C394" s="3" t="s">
        <v>105</v>
      </c>
      <c r="D394" s="3" t="s">
        <v>61</v>
      </c>
      <c r="E394" s="25" t="s">
        <v>877</v>
      </c>
      <c r="F394" s="3" t="s">
        <v>150</v>
      </c>
      <c r="G394" s="3" t="s">
        <v>63</v>
      </c>
      <c r="K394" s="13" t="n">
        <f aca="false">_xlfn.IFS(F394="","", F394=C394,1, F394&lt;&gt;C394,0)</f>
        <v>0</v>
      </c>
      <c r="L394" s="13" t="n">
        <f aca="false">_xlfn.IFS(G394="","", G394=D394,1, G394&lt;&gt;D394,0)</f>
        <v>0</v>
      </c>
    </row>
    <row r="395" customFormat="false" ht="13.8" hidden="false" customHeight="false" outlineLevel="0" collapsed="false">
      <c r="A395" s="3" t="n">
        <v>394</v>
      </c>
      <c r="B395" s="3" t="s">
        <v>624</v>
      </c>
      <c r="C395" s="3" t="s">
        <v>105</v>
      </c>
      <c r="D395" s="3" t="s">
        <v>61</v>
      </c>
      <c r="E395" s="25" t="s">
        <v>874</v>
      </c>
      <c r="F395" s="3" t="s">
        <v>105</v>
      </c>
      <c r="G395" s="3" t="s">
        <v>61</v>
      </c>
      <c r="K395" s="13" t="n">
        <f aca="false">_xlfn.IFS(F395="","", F395=C395,1, F395&lt;&gt;C395,0)</f>
        <v>1</v>
      </c>
      <c r="L395" s="13" t="n">
        <f aca="false">_xlfn.IFS(G395="","", G395=D395,1, G395&lt;&gt;D395,0)</f>
        <v>1</v>
      </c>
    </row>
    <row r="396" customFormat="false" ht="13.8" hidden="false" customHeight="false" outlineLevel="0" collapsed="false">
      <c r="A396" s="3" t="n">
        <v>395</v>
      </c>
      <c r="B396" s="3" t="s">
        <v>534</v>
      </c>
      <c r="C396" s="3" t="s">
        <v>105</v>
      </c>
      <c r="D396" s="3" t="s">
        <v>61</v>
      </c>
      <c r="E396" s="25" t="s">
        <v>877</v>
      </c>
      <c r="F396" s="3" t="s">
        <v>879</v>
      </c>
      <c r="G396" s="3"/>
      <c r="K396" s="13" t="n">
        <f aca="false">_xlfn.IFS(F396="","", F396=C396,1, F396&lt;&gt;C396,0)</f>
        <v>0</v>
      </c>
      <c r="L396" s="13" t="str">
        <f aca="false">_xlfn.IFS(G396="","", G396=D396,1, G396&lt;&gt;D396,0)</f>
        <v/>
      </c>
    </row>
    <row r="397" customFormat="false" ht="13.8" hidden="false" customHeight="false" outlineLevel="0" collapsed="false">
      <c r="A397" s="3" t="n">
        <v>396</v>
      </c>
      <c r="B397" s="3" t="s">
        <v>634</v>
      </c>
      <c r="C397" s="3" t="s">
        <v>105</v>
      </c>
      <c r="D397" s="3" t="s">
        <v>61</v>
      </c>
      <c r="E397" s="25" t="s">
        <v>874</v>
      </c>
      <c r="F397" s="3" t="s">
        <v>105</v>
      </c>
      <c r="G397" s="3" t="s">
        <v>61</v>
      </c>
      <c r="K397" s="13" t="n">
        <f aca="false">_xlfn.IFS(F397="","", F397=C397,1, F397&lt;&gt;C397,0)</f>
        <v>1</v>
      </c>
      <c r="L397" s="13" t="n">
        <f aca="false">_xlfn.IFS(G397="","", G397=D397,1, G397&lt;&gt;D397,0)</f>
        <v>1</v>
      </c>
    </row>
    <row r="398" customFormat="false" ht="13.8" hidden="false" customHeight="false" outlineLevel="0" collapsed="false">
      <c r="A398" s="3" t="n">
        <v>397</v>
      </c>
      <c r="B398" s="3" t="s">
        <v>848</v>
      </c>
      <c r="C398" s="3" t="s">
        <v>105</v>
      </c>
      <c r="D398" s="3" t="s">
        <v>61</v>
      </c>
      <c r="E398" s="25" t="s">
        <v>874</v>
      </c>
      <c r="F398" s="3" t="s">
        <v>105</v>
      </c>
      <c r="G398" s="3"/>
      <c r="K398" s="13" t="n">
        <f aca="false">_xlfn.IFS(F398="","", F398=C398,1, F398&lt;&gt;C398,0)</f>
        <v>1</v>
      </c>
      <c r="L398" s="13" t="str">
        <f aca="false">_xlfn.IFS(G398="","", G398=D398,1, G398&lt;&gt;D398,0)</f>
        <v/>
      </c>
    </row>
    <row r="399" customFormat="false" ht="13.8" hidden="false" customHeight="false" outlineLevel="0" collapsed="false">
      <c r="A399" s="3" t="n">
        <v>398</v>
      </c>
      <c r="B399" s="3" t="s">
        <v>436</v>
      </c>
      <c r="C399" s="3" t="s">
        <v>105</v>
      </c>
      <c r="D399" s="3" t="s">
        <v>77</v>
      </c>
      <c r="E399" s="25" t="s">
        <v>877</v>
      </c>
      <c r="F399" s="3" t="s">
        <v>150</v>
      </c>
      <c r="G399" s="3" t="s">
        <v>883</v>
      </c>
      <c r="K399" s="13" t="n">
        <f aca="false">_xlfn.IFS(F399="","", F399=C399,1, F399&lt;&gt;C399,0)</f>
        <v>0</v>
      </c>
      <c r="L399" s="13" t="n">
        <f aca="false">_xlfn.IFS(G399="","", G399=D399,1, G399&lt;&gt;D399,0)</f>
        <v>0</v>
      </c>
    </row>
    <row r="400" customFormat="false" ht="13.8" hidden="false" customHeight="false" outlineLevel="0" collapsed="false">
      <c r="A400" s="3" t="n">
        <v>399</v>
      </c>
      <c r="B400" s="3" t="s">
        <v>373</v>
      </c>
      <c r="C400" s="3" t="s">
        <v>143</v>
      </c>
      <c r="D400" s="3" t="s">
        <v>198</v>
      </c>
      <c r="E400" s="25" t="s">
        <v>874</v>
      </c>
      <c r="F400" s="3" t="s">
        <v>105</v>
      </c>
      <c r="G400" s="3" t="s">
        <v>61</v>
      </c>
      <c r="K400" s="13" t="n">
        <f aca="false">_xlfn.IFS(F400="","", F400=C400,1, F400&lt;&gt;C400,0)</f>
        <v>0</v>
      </c>
      <c r="L400" s="13" t="n">
        <f aca="false">_xlfn.IFS(G400="","", G400=D400,1, G400&lt;&gt;D400,0)</f>
        <v>0</v>
      </c>
    </row>
    <row r="401" customFormat="false" ht="13.8" hidden="false" customHeight="false" outlineLevel="0" collapsed="false">
      <c r="A401" s="3" t="n">
        <v>400</v>
      </c>
      <c r="B401" s="3" t="s">
        <v>347</v>
      </c>
      <c r="C401" s="3" t="s">
        <v>143</v>
      </c>
      <c r="D401" s="3" t="s">
        <v>198</v>
      </c>
      <c r="E401" s="25" t="s">
        <v>874</v>
      </c>
      <c r="F401" s="3" t="s">
        <v>105</v>
      </c>
      <c r="G401" s="3" t="s">
        <v>61</v>
      </c>
      <c r="K401" s="13" t="n">
        <f aca="false">_xlfn.IFS(F401="","", F401=C401,1, F401&lt;&gt;C401,0)</f>
        <v>0</v>
      </c>
      <c r="L401" s="13" t="n">
        <f aca="false">_xlfn.IFS(G401="","", G401=D401,1, G401&lt;&gt;D401,0)</f>
        <v>0</v>
      </c>
    </row>
    <row r="402" customFormat="false" ht="13.8" hidden="false" customHeight="false" outlineLevel="0" collapsed="false">
      <c r="A402" s="3" t="n">
        <v>401</v>
      </c>
      <c r="B402" s="3" t="s">
        <v>357</v>
      </c>
      <c r="C402" s="3" t="s">
        <v>105</v>
      </c>
      <c r="D402" s="3" t="s">
        <v>55</v>
      </c>
      <c r="E402" s="25" t="s">
        <v>874</v>
      </c>
      <c r="F402" s="3" t="s">
        <v>105</v>
      </c>
      <c r="G402" s="3" t="s">
        <v>61</v>
      </c>
      <c r="K402" s="13" t="n">
        <f aca="false">_xlfn.IFS(F402="","", F402=C402,1, F402&lt;&gt;C402,0)</f>
        <v>1</v>
      </c>
      <c r="L402" s="13" t="n">
        <f aca="false">_xlfn.IFS(G402="","", G402=D402,1, G402&lt;&gt;D402,0)</f>
        <v>0</v>
      </c>
    </row>
    <row r="403" customFormat="false" ht="13.8" hidden="false" customHeight="false" outlineLevel="0" collapsed="false">
      <c r="A403" s="3" t="n">
        <v>402</v>
      </c>
      <c r="B403" s="3" t="s">
        <v>293</v>
      </c>
      <c r="C403" s="3" t="s">
        <v>143</v>
      </c>
      <c r="D403" s="3" t="s">
        <v>256</v>
      </c>
      <c r="E403" s="25" t="s">
        <v>877</v>
      </c>
      <c r="F403" s="3" t="s">
        <v>150</v>
      </c>
      <c r="G403" s="3" t="s">
        <v>83</v>
      </c>
      <c r="K403" s="13" t="n">
        <f aca="false">_xlfn.IFS(F403="","", F403=C403,1, F403&lt;&gt;C403,0)</f>
        <v>0</v>
      </c>
      <c r="L403" s="13" t="n">
        <f aca="false">_xlfn.IFS(G403="","", G403=D403,1, G403&lt;&gt;D403,0)</f>
        <v>0</v>
      </c>
    </row>
    <row r="404" customFormat="false" ht="13.8" hidden="false" customHeight="false" outlineLevel="0" collapsed="false">
      <c r="A404" s="3" t="n">
        <v>403</v>
      </c>
      <c r="B404" s="3" t="s">
        <v>760</v>
      </c>
      <c r="C404" s="3" t="s">
        <v>105</v>
      </c>
      <c r="D404" s="3" t="s">
        <v>61</v>
      </c>
      <c r="E404" s="25" t="s">
        <v>877</v>
      </c>
      <c r="F404" s="3" t="s">
        <v>150</v>
      </c>
      <c r="G404" s="3" t="s">
        <v>83</v>
      </c>
      <c r="K404" s="13" t="n">
        <f aca="false">_xlfn.IFS(F404="","", F404=C404,1, F404&lt;&gt;C404,0)</f>
        <v>0</v>
      </c>
      <c r="L404" s="13" t="n">
        <f aca="false">_xlfn.IFS(G404="","", G404=D404,1, G404&lt;&gt;D404,0)</f>
        <v>0</v>
      </c>
    </row>
    <row r="405" customFormat="false" ht="13.8" hidden="false" customHeight="false" outlineLevel="0" collapsed="false">
      <c r="A405" s="3" t="n">
        <v>404</v>
      </c>
      <c r="B405" s="3" t="s">
        <v>818</v>
      </c>
      <c r="C405" s="3" t="s">
        <v>105</v>
      </c>
      <c r="D405" s="3" t="s">
        <v>77</v>
      </c>
      <c r="E405" s="25" t="s">
        <v>878</v>
      </c>
      <c r="F405" s="3"/>
      <c r="G405" s="3"/>
      <c r="K405" s="13" t="str">
        <f aca="false">_xlfn.IFS(F405="","", F405=C405,1, F405&lt;&gt;C405,0)</f>
        <v/>
      </c>
      <c r="L405" s="13" t="str">
        <f aca="false">_xlfn.IFS(G405="","", G405=D405,1, G405&lt;&gt;D405,0)</f>
        <v/>
      </c>
    </row>
    <row r="406" customFormat="false" ht="13.8" hidden="false" customHeight="false" outlineLevel="0" collapsed="false">
      <c r="A406" s="3" t="n">
        <v>405</v>
      </c>
      <c r="B406" s="3" t="s">
        <v>403</v>
      </c>
      <c r="C406" s="3" t="s">
        <v>105</v>
      </c>
      <c r="D406" s="3" t="s">
        <v>61</v>
      </c>
      <c r="E406" s="25" t="s">
        <v>877</v>
      </c>
      <c r="F406" s="3" t="s">
        <v>879</v>
      </c>
      <c r="G406" s="3"/>
      <c r="K406" s="13" t="n">
        <f aca="false">_xlfn.IFS(F406="","", F406=C406,1, F406&lt;&gt;C406,0)</f>
        <v>0</v>
      </c>
      <c r="L406" s="13" t="str">
        <f aca="false">_xlfn.IFS(G406="","", G406=D406,1, G406&lt;&gt;D406,0)</f>
        <v/>
      </c>
    </row>
    <row r="407" customFormat="false" ht="13.8" hidden="false" customHeight="false" outlineLevel="0" collapsed="false">
      <c r="A407" s="3" t="n">
        <v>406</v>
      </c>
      <c r="B407" s="3" t="s">
        <v>537</v>
      </c>
      <c r="C407" s="3" t="s">
        <v>143</v>
      </c>
      <c r="D407" s="3" t="s">
        <v>288</v>
      </c>
      <c r="E407" s="25" t="s">
        <v>877</v>
      </c>
      <c r="F407" s="3" t="s">
        <v>150</v>
      </c>
      <c r="G407" s="3" t="s">
        <v>883</v>
      </c>
      <c r="K407" s="13" t="n">
        <f aca="false">_xlfn.IFS(F407="","", F407=C407,1, F407&lt;&gt;C407,0)</f>
        <v>0</v>
      </c>
      <c r="L407" s="13" t="n">
        <f aca="false">_xlfn.IFS(G407="","", G407=D407,1, G407&lt;&gt;D407,0)</f>
        <v>0</v>
      </c>
    </row>
    <row r="408" customFormat="false" ht="13.8" hidden="false" customHeight="false" outlineLevel="0" collapsed="false">
      <c r="A408" s="3" t="n">
        <v>407</v>
      </c>
      <c r="B408" s="3" t="s">
        <v>329</v>
      </c>
      <c r="C408" s="3" t="s">
        <v>150</v>
      </c>
      <c r="D408" s="3" t="s">
        <v>83</v>
      </c>
      <c r="E408" s="25" t="s">
        <v>874</v>
      </c>
      <c r="F408" s="3" t="s">
        <v>105</v>
      </c>
      <c r="G408" s="3" t="s">
        <v>61</v>
      </c>
      <c r="K408" s="13" t="n">
        <f aca="false">_xlfn.IFS(F408="","", F408=C408,1, F408&lt;&gt;C408,0)</f>
        <v>0</v>
      </c>
      <c r="L408" s="13" t="n">
        <f aca="false">_xlfn.IFS(G408="","", G408=D408,1, G408&lt;&gt;D408,0)</f>
        <v>0</v>
      </c>
    </row>
    <row r="409" customFormat="false" ht="13.8" hidden="false" customHeight="false" outlineLevel="0" collapsed="false">
      <c r="A409" s="3" t="n">
        <v>408</v>
      </c>
      <c r="B409" s="3" t="s">
        <v>577</v>
      </c>
      <c r="C409" s="3" t="s">
        <v>143</v>
      </c>
      <c r="D409" s="3" t="s">
        <v>256</v>
      </c>
      <c r="E409" s="25" t="s">
        <v>877</v>
      </c>
      <c r="F409" s="3" t="s">
        <v>150</v>
      </c>
      <c r="G409" s="3" t="s">
        <v>63</v>
      </c>
      <c r="K409" s="13" t="n">
        <f aca="false">_xlfn.IFS(F409="","", F409=C409,1, F409&lt;&gt;C409,0)</f>
        <v>0</v>
      </c>
      <c r="L409" s="13" t="n">
        <f aca="false">_xlfn.IFS(G409="","", G409=D409,1, G409&lt;&gt;D409,0)</f>
        <v>0</v>
      </c>
    </row>
    <row r="410" customFormat="false" ht="13.8" hidden="false" customHeight="false" outlineLevel="0" collapsed="false">
      <c r="A410" s="3" t="n">
        <v>409</v>
      </c>
      <c r="B410" s="3" t="s">
        <v>744</v>
      </c>
      <c r="C410" s="3" t="s">
        <v>143</v>
      </c>
      <c r="D410" s="3" t="s">
        <v>288</v>
      </c>
      <c r="E410" s="25" t="s">
        <v>877</v>
      </c>
      <c r="F410" s="3" t="s">
        <v>150</v>
      </c>
      <c r="G410" s="3" t="s">
        <v>63</v>
      </c>
      <c r="K410" s="13" t="n">
        <f aca="false">_xlfn.IFS(F410="","", F410=C410,1, F410&lt;&gt;C410,0)</f>
        <v>0</v>
      </c>
      <c r="L410" s="13" t="n">
        <f aca="false">_xlfn.IFS(G410="","", G410=D410,1, G410&lt;&gt;D410,0)</f>
        <v>0</v>
      </c>
    </row>
    <row r="411" customFormat="false" ht="13.8" hidden="false" customHeight="false" outlineLevel="0" collapsed="false">
      <c r="A411" s="3" t="n">
        <v>410</v>
      </c>
      <c r="B411" s="3" t="s">
        <v>294</v>
      </c>
      <c r="C411" s="3" t="s">
        <v>150</v>
      </c>
      <c r="D411" s="3" t="s">
        <v>83</v>
      </c>
      <c r="E411" s="25" t="s">
        <v>874</v>
      </c>
      <c r="F411" s="3" t="s">
        <v>105</v>
      </c>
      <c r="G411" s="3" t="s">
        <v>55</v>
      </c>
      <c r="K411" s="13" t="n">
        <f aca="false">_xlfn.IFS(F411="","", F411=C411,1, F411&lt;&gt;C411,0)</f>
        <v>0</v>
      </c>
      <c r="L411" s="13" t="n">
        <f aca="false">_xlfn.IFS(G411="","", G411=D411,1, G411&lt;&gt;D411,0)</f>
        <v>0</v>
      </c>
    </row>
    <row r="412" customFormat="false" ht="13.8" hidden="false" customHeight="false" outlineLevel="0" collapsed="false">
      <c r="A412" s="3" t="n">
        <v>411</v>
      </c>
      <c r="B412" s="3" t="s">
        <v>636</v>
      </c>
      <c r="C412" s="3" t="s">
        <v>150</v>
      </c>
      <c r="D412" s="3" t="s">
        <v>75</v>
      </c>
      <c r="E412" s="25" t="s">
        <v>878</v>
      </c>
      <c r="F412" s="3"/>
      <c r="G412" s="3"/>
      <c r="K412" s="13" t="str">
        <f aca="false">_xlfn.IFS(F412="","", F412=C412,1, F412&lt;&gt;C412,0)</f>
        <v/>
      </c>
      <c r="L412" s="13" t="str">
        <f aca="false">_xlfn.IFS(G412="","", G412=D412,1, G412&lt;&gt;D412,0)</f>
        <v/>
      </c>
    </row>
    <row r="413" customFormat="false" ht="13.8" hidden="false" customHeight="false" outlineLevel="0" collapsed="false">
      <c r="A413" s="3" t="n">
        <v>412</v>
      </c>
      <c r="B413" s="3" t="s">
        <v>391</v>
      </c>
      <c r="C413" s="3" t="s">
        <v>150</v>
      </c>
      <c r="D413" s="3" t="s">
        <v>83</v>
      </c>
      <c r="E413" s="25" t="s">
        <v>877</v>
      </c>
      <c r="F413" s="3" t="s">
        <v>150</v>
      </c>
      <c r="G413" s="3" t="s">
        <v>883</v>
      </c>
      <c r="K413" s="13" t="n">
        <f aca="false">_xlfn.IFS(F413="","", F413=C413,1, F413&lt;&gt;C413,0)</f>
        <v>1</v>
      </c>
      <c r="L413" s="13" t="n">
        <f aca="false">_xlfn.IFS(G413="","", G413=D413,1, G413&lt;&gt;D413,0)</f>
        <v>0</v>
      </c>
    </row>
    <row r="414" customFormat="false" ht="13.8" hidden="false" customHeight="false" outlineLevel="0" collapsed="false">
      <c r="A414" s="3" t="n">
        <v>413</v>
      </c>
      <c r="B414" s="3" t="s">
        <v>631</v>
      </c>
      <c r="C414" s="3" t="s">
        <v>105</v>
      </c>
      <c r="D414" s="3" t="s">
        <v>77</v>
      </c>
      <c r="E414" s="25" t="s">
        <v>877</v>
      </c>
      <c r="F414" s="3" t="s">
        <v>879</v>
      </c>
      <c r="G414" s="3"/>
      <c r="K414" s="13" t="n">
        <f aca="false">_xlfn.IFS(F414="","", F414=C414,1, F414&lt;&gt;C414,0)</f>
        <v>0</v>
      </c>
      <c r="L414" s="13" t="str">
        <f aca="false">_xlfn.IFS(G414="","", G414=D414,1, G414&lt;&gt;D414,0)</f>
        <v/>
      </c>
    </row>
    <row r="415" customFormat="false" ht="13.8" hidden="false" customHeight="false" outlineLevel="0" collapsed="false">
      <c r="A415" s="3" t="n">
        <v>414</v>
      </c>
      <c r="B415" s="3" t="s">
        <v>423</v>
      </c>
      <c r="C415" s="3" t="s">
        <v>143</v>
      </c>
      <c r="D415" s="3" t="s">
        <v>351</v>
      </c>
      <c r="E415" s="25" t="s">
        <v>874</v>
      </c>
      <c r="F415" s="3" t="s">
        <v>105</v>
      </c>
      <c r="G415" s="3" t="s">
        <v>61</v>
      </c>
      <c r="K415" s="13" t="n">
        <f aca="false">_xlfn.IFS(F415="","", F415=C415,1, F415&lt;&gt;C415,0)</f>
        <v>0</v>
      </c>
      <c r="L415" s="13" t="n">
        <f aca="false">_xlfn.IFS(G415="","", G415=D415,1, G415&lt;&gt;D415,0)</f>
        <v>0</v>
      </c>
    </row>
    <row r="416" customFormat="false" ht="13.8" hidden="false" customHeight="false" outlineLevel="0" collapsed="false">
      <c r="A416" s="3" t="n">
        <v>415</v>
      </c>
      <c r="B416" s="3" t="s">
        <v>676</v>
      </c>
      <c r="C416" s="3" t="s">
        <v>105</v>
      </c>
      <c r="D416" s="3" t="s">
        <v>61</v>
      </c>
      <c r="E416" s="25" t="s">
        <v>878</v>
      </c>
      <c r="F416" s="3"/>
      <c r="G416" s="3"/>
      <c r="K416" s="13" t="str">
        <f aca="false">_xlfn.IFS(F416="","", F416=C416,1, F416&lt;&gt;C416,0)</f>
        <v/>
      </c>
      <c r="L416" s="13" t="str">
        <f aca="false">_xlfn.IFS(G416="","", G416=D416,1, G416&lt;&gt;D416,0)</f>
        <v/>
      </c>
    </row>
    <row r="417" customFormat="false" ht="13.8" hidden="false" customHeight="false" outlineLevel="0" collapsed="false">
      <c r="A417" s="3" t="n">
        <v>416</v>
      </c>
      <c r="B417" s="3" t="s">
        <v>524</v>
      </c>
      <c r="C417" s="3" t="s">
        <v>105</v>
      </c>
      <c r="D417" s="3" t="s">
        <v>61</v>
      </c>
      <c r="E417" s="25" t="s">
        <v>877</v>
      </c>
      <c r="F417" s="3" t="s">
        <v>150</v>
      </c>
      <c r="G417" s="3" t="s">
        <v>884</v>
      </c>
      <c r="K417" s="13" t="n">
        <f aca="false">_xlfn.IFS(F417="","", F417=C417,1, F417&lt;&gt;C417,0)</f>
        <v>0</v>
      </c>
      <c r="L417" s="13" t="n">
        <f aca="false">_xlfn.IFS(G417="","", G417=D417,1, G417&lt;&gt;D417,0)</f>
        <v>0</v>
      </c>
    </row>
    <row r="418" customFormat="false" ht="13.8" hidden="false" customHeight="false" outlineLevel="0" collapsed="false">
      <c r="A418" s="3" t="n">
        <v>417</v>
      </c>
      <c r="B418" s="3" t="s">
        <v>295</v>
      </c>
      <c r="C418" s="3" t="s">
        <v>105</v>
      </c>
      <c r="D418" s="3" t="s">
        <v>61</v>
      </c>
      <c r="E418" s="25" t="s">
        <v>874</v>
      </c>
      <c r="F418" s="3" t="s">
        <v>105</v>
      </c>
      <c r="G418" s="3" t="s">
        <v>61</v>
      </c>
      <c r="K418" s="13" t="n">
        <f aca="false">_xlfn.IFS(F418="","", F418=C418,1, F418&lt;&gt;C418,0)</f>
        <v>1</v>
      </c>
      <c r="L418" s="13" t="n">
        <f aca="false">_xlfn.IFS(G418="","", G418=D418,1, G418&lt;&gt;D418,0)</f>
        <v>1</v>
      </c>
    </row>
    <row r="419" customFormat="false" ht="13.8" hidden="false" customHeight="false" outlineLevel="0" collapsed="false">
      <c r="A419" s="3" t="n">
        <v>418</v>
      </c>
      <c r="B419" s="3" t="s">
        <v>866</v>
      </c>
      <c r="C419" s="3" t="s">
        <v>143</v>
      </c>
      <c r="D419" s="3" t="s">
        <v>198</v>
      </c>
      <c r="E419" s="25" t="s">
        <v>877</v>
      </c>
      <c r="F419" s="3" t="s">
        <v>879</v>
      </c>
      <c r="G419" s="3"/>
      <c r="K419" s="13" t="n">
        <f aca="false">_xlfn.IFS(F419="","", F419=C419,1, F419&lt;&gt;C419,0)</f>
        <v>0</v>
      </c>
      <c r="L419" s="13" t="str">
        <f aca="false">_xlfn.IFS(G419="","", G419=D419,1, G419&lt;&gt;D419,0)</f>
        <v/>
      </c>
    </row>
    <row r="420" customFormat="false" ht="13.8" hidden="false" customHeight="false" outlineLevel="0" collapsed="false">
      <c r="A420" s="3" t="n">
        <v>419</v>
      </c>
      <c r="B420" s="3" t="s">
        <v>418</v>
      </c>
      <c r="C420" s="3" t="s">
        <v>105</v>
      </c>
      <c r="D420" s="3" t="s">
        <v>61</v>
      </c>
      <c r="E420" s="25" t="s">
        <v>877</v>
      </c>
      <c r="F420" s="3" t="s">
        <v>150</v>
      </c>
      <c r="G420" s="3" t="s">
        <v>883</v>
      </c>
      <c r="K420" s="13" t="n">
        <f aca="false">_xlfn.IFS(F420="","", F420=C420,1, F420&lt;&gt;C420,0)</f>
        <v>0</v>
      </c>
      <c r="L420" s="13" t="n">
        <f aca="false">_xlfn.IFS(G420="","", G420=D420,1, G420&lt;&gt;D420,0)</f>
        <v>0</v>
      </c>
    </row>
    <row r="421" customFormat="false" ht="13.8" hidden="false" customHeight="false" outlineLevel="0" collapsed="false">
      <c r="A421" s="3" t="n">
        <v>420</v>
      </c>
      <c r="B421" s="3" t="s">
        <v>829</v>
      </c>
      <c r="C421" s="3" t="s">
        <v>105</v>
      </c>
      <c r="D421" s="3" t="s">
        <v>61</v>
      </c>
      <c r="E421" s="25" t="s">
        <v>874</v>
      </c>
      <c r="F421" s="3" t="s">
        <v>105</v>
      </c>
      <c r="G421" s="3" t="s">
        <v>61</v>
      </c>
      <c r="K421" s="13" t="n">
        <f aca="false">_xlfn.IFS(F421="","", F421=C421,1, F421&lt;&gt;C421,0)</f>
        <v>1</v>
      </c>
      <c r="L421" s="13" t="n">
        <f aca="false">_xlfn.IFS(G421="","", G421=D421,1, G421&lt;&gt;D421,0)</f>
        <v>1</v>
      </c>
    </row>
    <row r="422" customFormat="false" ht="13.8" hidden="false" customHeight="false" outlineLevel="0" collapsed="false">
      <c r="A422" s="3" t="n">
        <v>421</v>
      </c>
      <c r="B422" s="3" t="s">
        <v>705</v>
      </c>
      <c r="C422" s="3" t="s">
        <v>105</v>
      </c>
      <c r="D422" s="3" t="s">
        <v>61</v>
      </c>
      <c r="E422" s="25" t="s">
        <v>874</v>
      </c>
      <c r="F422" s="3" t="s">
        <v>105</v>
      </c>
      <c r="G422" s="3" t="s">
        <v>61</v>
      </c>
      <c r="K422" s="13" t="n">
        <f aca="false">_xlfn.IFS(F422="","", F422=C422,1, F422&lt;&gt;C422,0)</f>
        <v>1</v>
      </c>
      <c r="L422" s="13" t="n">
        <f aca="false">_xlfn.IFS(G422="","", G422=D422,1, G422&lt;&gt;D422,0)</f>
        <v>1</v>
      </c>
    </row>
    <row r="423" customFormat="false" ht="13.8" hidden="false" customHeight="false" outlineLevel="0" collapsed="false">
      <c r="A423" s="3" t="n">
        <v>422</v>
      </c>
      <c r="B423" s="3" t="s">
        <v>448</v>
      </c>
      <c r="C423" s="3" t="s">
        <v>105</v>
      </c>
      <c r="D423" s="3" t="s">
        <v>77</v>
      </c>
      <c r="E423" s="25" t="s">
        <v>874</v>
      </c>
      <c r="F423" s="3" t="s">
        <v>105</v>
      </c>
      <c r="G423" s="3" t="s">
        <v>61</v>
      </c>
      <c r="K423" s="13" t="n">
        <f aca="false">_xlfn.IFS(F423="","", F423=C423,1, F423&lt;&gt;C423,0)</f>
        <v>1</v>
      </c>
      <c r="L423" s="13" t="n">
        <f aca="false">_xlfn.IFS(G423="","", G423=D423,1, G423&lt;&gt;D423,0)</f>
        <v>0</v>
      </c>
    </row>
    <row r="424" customFormat="false" ht="13.8" hidden="false" customHeight="false" outlineLevel="0" collapsed="false">
      <c r="A424" s="3" t="n">
        <v>423</v>
      </c>
      <c r="B424" s="3" t="s">
        <v>603</v>
      </c>
      <c r="C424" s="3" t="s">
        <v>105</v>
      </c>
      <c r="D424" s="3" t="s">
        <v>61</v>
      </c>
      <c r="E424" s="25" t="s">
        <v>874</v>
      </c>
      <c r="F424" s="3" t="s">
        <v>105</v>
      </c>
      <c r="G424" s="3" t="s">
        <v>61</v>
      </c>
      <c r="K424" s="13" t="n">
        <f aca="false">_xlfn.IFS(F424="","", F424=C424,1, F424&lt;&gt;C424,0)</f>
        <v>1</v>
      </c>
      <c r="L424" s="13" t="n">
        <f aca="false">_xlfn.IFS(G424="","", G424=D424,1, G424&lt;&gt;D424,0)</f>
        <v>1</v>
      </c>
    </row>
    <row r="425" customFormat="false" ht="13.8" hidden="false" customHeight="false" outlineLevel="0" collapsed="false">
      <c r="A425" s="3" t="n">
        <v>424</v>
      </c>
      <c r="B425" s="3" t="s">
        <v>363</v>
      </c>
      <c r="C425" s="3" t="s">
        <v>143</v>
      </c>
      <c r="D425" s="3" t="s">
        <v>256</v>
      </c>
      <c r="E425" s="25" t="s">
        <v>874</v>
      </c>
      <c r="F425" s="3" t="s">
        <v>105</v>
      </c>
      <c r="G425" s="3" t="s">
        <v>61</v>
      </c>
      <c r="K425" s="13" t="n">
        <f aca="false">_xlfn.IFS(F425="","", F425=C425,1, F425&lt;&gt;C425,0)</f>
        <v>0</v>
      </c>
      <c r="L425" s="13" t="n">
        <f aca="false">_xlfn.IFS(G425="","", G425=D425,1, G425&lt;&gt;D425,0)</f>
        <v>0</v>
      </c>
    </row>
    <row r="426" customFormat="false" ht="13.8" hidden="false" customHeight="false" outlineLevel="0" collapsed="false">
      <c r="A426" s="3" t="n">
        <v>425</v>
      </c>
      <c r="B426" s="3" t="s">
        <v>246</v>
      </c>
      <c r="C426" s="3" t="s">
        <v>105</v>
      </c>
      <c r="D426" s="3" t="s">
        <v>61</v>
      </c>
      <c r="E426" s="25" t="s">
        <v>877</v>
      </c>
      <c r="F426" s="3" t="s">
        <v>879</v>
      </c>
      <c r="G426" s="3"/>
      <c r="K426" s="13" t="n">
        <f aca="false">_xlfn.IFS(F426="","", F426=C426,1, F426&lt;&gt;C426,0)</f>
        <v>0</v>
      </c>
      <c r="L426" s="13" t="str">
        <f aca="false">_xlfn.IFS(G426="","", G426=D426,1, G426&lt;&gt;D426,0)</f>
        <v/>
      </c>
    </row>
    <row r="427" customFormat="false" ht="13.8" hidden="false" customHeight="false" outlineLevel="0" collapsed="false">
      <c r="A427" s="3" t="n">
        <v>426</v>
      </c>
      <c r="B427" s="3" t="s">
        <v>658</v>
      </c>
      <c r="C427" s="3" t="s">
        <v>105</v>
      </c>
      <c r="D427" s="3" t="s">
        <v>77</v>
      </c>
      <c r="E427" s="25" t="s">
        <v>874</v>
      </c>
      <c r="F427" s="3" t="s">
        <v>105</v>
      </c>
      <c r="G427" s="3" t="s">
        <v>61</v>
      </c>
      <c r="K427" s="13" t="n">
        <f aca="false">_xlfn.IFS(F427="","", F427=C427,1, F427&lt;&gt;C427,0)</f>
        <v>1</v>
      </c>
      <c r="L427" s="13" t="n">
        <f aca="false">_xlfn.IFS(G427="","", G427=D427,1, G427&lt;&gt;D427,0)</f>
        <v>0</v>
      </c>
    </row>
    <row r="428" customFormat="false" ht="13.8" hidden="false" customHeight="false" outlineLevel="0" collapsed="false">
      <c r="A428" s="3" t="n">
        <v>427</v>
      </c>
      <c r="B428" s="3" t="s">
        <v>605</v>
      </c>
      <c r="C428" s="3" t="s">
        <v>105</v>
      </c>
      <c r="D428" s="3" t="s">
        <v>77</v>
      </c>
      <c r="E428" s="25" t="s">
        <v>877</v>
      </c>
      <c r="F428" s="3" t="s">
        <v>150</v>
      </c>
      <c r="G428" s="3" t="s">
        <v>63</v>
      </c>
      <c r="K428" s="13" t="n">
        <f aca="false">_xlfn.IFS(F428="","", F428=C428,1, F428&lt;&gt;C428,0)</f>
        <v>0</v>
      </c>
      <c r="L428" s="13" t="n">
        <f aca="false">_xlfn.IFS(G428="","", G428=D428,1, G428&lt;&gt;D428,0)</f>
        <v>0</v>
      </c>
    </row>
    <row r="429" customFormat="false" ht="13.8" hidden="false" customHeight="false" outlineLevel="0" collapsed="false">
      <c r="A429" s="3" t="n">
        <v>428</v>
      </c>
      <c r="B429" s="3" t="s">
        <v>453</v>
      </c>
      <c r="C429" s="3" t="s">
        <v>150</v>
      </c>
      <c r="D429" s="3" t="s">
        <v>83</v>
      </c>
      <c r="E429" s="25" t="s">
        <v>874</v>
      </c>
      <c r="F429" s="3" t="s">
        <v>105</v>
      </c>
      <c r="G429" s="3" t="s">
        <v>61</v>
      </c>
      <c r="K429" s="13" t="n">
        <f aca="false">_xlfn.IFS(F429="","", F429=C429,1, F429&lt;&gt;C429,0)</f>
        <v>0</v>
      </c>
      <c r="L429" s="13" t="n">
        <f aca="false">_xlfn.IFS(G429="","", G429=D429,1, G429&lt;&gt;D429,0)</f>
        <v>0</v>
      </c>
    </row>
    <row r="430" customFormat="false" ht="13.8" hidden="false" customHeight="false" outlineLevel="0" collapsed="false">
      <c r="A430" s="3" t="n">
        <v>429</v>
      </c>
      <c r="B430" s="3" t="s">
        <v>786</v>
      </c>
      <c r="C430" s="3" t="s">
        <v>105</v>
      </c>
      <c r="D430" s="3" t="s">
        <v>77</v>
      </c>
      <c r="E430" s="25" t="s">
        <v>874</v>
      </c>
      <c r="F430" s="3" t="s">
        <v>105</v>
      </c>
      <c r="G430" s="3" t="s">
        <v>61</v>
      </c>
      <c r="K430" s="13" t="n">
        <f aca="false">_xlfn.IFS(F430="","", F430=C430,1, F430&lt;&gt;C430,0)</f>
        <v>1</v>
      </c>
      <c r="L430" s="13" t="n">
        <f aca="false">_xlfn.IFS(G430="","", G430=D430,1, G430&lt;&gt;D430,0)</f>
        <v>0</v>
      </c>
    </row>
    <row r="431" customFormat="false" ht="13.8" hidden="false" customHeight="false" outlineLevel="0" collapsed="false">
      <c r="A431" s="3" t="n">
        <v>430</v>
      </c>
      <c r="B431" s="3" t="s">
        <v>434</v>
      </c>
      <c r="C431" s="3" t="s">
        <v>105</v>
      </c>
      <c r="D431" s="3" t="s">
        <v>61</v>
      </c>
      <c r="E431" s="25" t="s">
        <v>877</v>
      </c>
      <c r="F431" s="3" t="s">
        <v>150</v>
      </c>
      <c r="G431" s="3" t="s">
        <v>63</v>
      </c>
      <c r="K431" s="13" t="n">
        <f aca="false">_xlfn.IFS(F431="","", F431=C431,1, F431&lt;&gt;C431,0)</f>
        <v>0</v>
      </c>
      <c r="L431" s="13" t="n">
        <f aca="false">_xlfn.IFS(G431="","", G431=D431,1, G431&lt;&gt;D431,0)</f>
        <v>0</v>
      </c>
    </row>
    <row r="432" customFormat="false" ht="13.8" hidden="false" customHeight="false" outlineLevel="0" collapsed="false">
      <c r="A432" s="3" t="n">
        <v>431</v>
      </c>
      <c r="B432" s="3" t="s">
        <v>424</v>
      </c>
      <c r="C432" s="3" t="s">
        <v>105</v>
      </c>
      <c r="D432" s="3" t="s">
        <v>61</v>
      </c>
      <c r="E432" s="25" t="s">
        <v>874</v>
      </c>
      <c r="F432" s="3" t="s">
        <v>105</v>
      </c>
      <c r="G432" s="3" t="s">
        <v>61</v>
      </c>
      <c r="K432" s="13" t="n">
        <f aca="false">_xlfn.IFS(F432="","", F432=C432,1, F432&lt;&gt;C432,0)</f>
        <v>1</v>
      </c>
      <c r="L432" s="13" t="n">
        <f aca="false">_xlfn.IFS(G432="","", G432=D432,1, G432&lt;&gt;D432,0)</f>
        <v>1</v>
      </c>
    </row>
    <row r="433" customFormat="false" ht="13.8" hidden="false" customHeight="false" outlineLevel="0" collapsed="false">
      <c r="A433" s="3" t="n">
        <v>432</v>
      </c>
      <c r="B433" s="3" t="s">
        <v>449</v>
      </c>
      <c r="C433" s="3" t="s">
        <v>105</v>
      </c>
      <c r="D433" s="3" t="s">
        <v>61</v>
      </c>
      <c r="E433" s="25" t="s">
        <v>874</v>
      </c>
      <c r="F433" s="3" t="s">
        <v>105</v>
      </c>
      <c r="G433" s="3"/>
      <c r="K433" s="13" t="n">
        <f aca="false">_xlfn.IFS(F433="","", F433=C433,1, F433&lt;&gt;C433,0)</f>
        <v>1</v>
      </c>
      <c r="L433" s="13" t="str">
        <f aca="false">_xlfn.IFS(G433="","", G433=D433,1, G433&lt;&gt;D433,0)</f>
        <v/>
      </c>
    </row>
    <row r="434" customFormat="false" ht="13.8" hidden="false" customHeight="false" outlineLevel="0" collapsed="false">
      <c r="A434" s="3" t="n">
        <v>433</v>
      </c>
      <c r="B434" s="3" t="s">
        <v>546</v>
      </c>
      <c r="C434" s="3" t="s">
        <v>105</v>
      </c>
      <c r="D434" s="3" t="s">
        <v>61</v>
      </c>
      <c r="E434" s="25" t="s">
        <v>874</v>
      </c>
      <c r="F434" s="3" t="s">
        <v>105</v>
      </c>
      <c r="G434" s="3" t="s">
        <v>61</v>
      </c>
      <c r="K434" s="13" t="n">
        <f aca="false">_xlfn.IFS(F434="","", F434=C434,1, F434&lt;&gt;C434,0)</f>
        <v>1</v>
      </c>
      <c r="L434" s="13" t="n">
        <f aca="false">_xlfn.IFS(G434="","", G434=D434,1, G434&lt;&gt;D434,0)</f>
        <v>1</v>
      </c>
    </row>
    <row r="435" customFormat="false" ht="13.8" hidden="false" customHeight="false" outlineLevel="0" collapsed="false">
      <c r="A435" s="3" t="n">
        <v>434</v>
      </c>
      <c r="B435" s="3" t="s">
        <v>435</v>
      </c>
      <c r="C435" s="3" t="s">
        <v>133</v>
      </c>
      <c r="D435" s="3" t="s">
        <v>65</v>
      </c>
      <c r="E435" s="25" t="s">
        <v>877</v>
      </c>
      <c r="F435" s="3" t="s">
        <v>150</v>
      </c>
      <c r="G435" s="3" t="s">
        <v>63</v>
      </c>
      <c r="K435" s="13" t="n">
        <f aca="false">_xlfn.IFS(F435="","", F435=C435,1, F435&lt;&gt;C435,0)</f>
        <v>0</v>
      </c>
      <c r="L435" s="13" t="n">
        <f aca="false">_xlfn.IFS(G435="","", G435=D435,1, G435&lt;&gt;D435,0)</f>
        <v>0</v>
      </c>
    </row>
    <row r="436" customFormat="false" ht="13.8" hidden="false" customHeight="false" outlineLevel="0" collapsed="false">
      <c r="A436" s="3" t="n">
        <v>435</v>
      </c>
      <c r="B436" s="3" t="s">
        <v>858</v>
      </c>
      <c r="C436" s="3" t="s">
        <v>143</v>
      </c>
      <c r="D436" s="3" t="s">
        <v>351</v>
      </c>
      <c r="E436" s="25" t="s">
        <v>877</v>
      </c>
      <c r="F436" s="3" t="s">
        <v>150</v>
      </c>
      <c r="G436" s="3" t="s">
        <v>884</v>
      </c>
      <c r="K436" s="13" t="n">
        <f aca="false">_xlfn.IFS(F436="","", F436=C436,1, F436&lt;&gt;C436,0)</f>
        <v>0</v>
      </c>
      <c r="L436" s="13" t="n">
        <f aca="false">_xlfn.IFS(G436="","", G436=D436,1, G436&lt;&gt;D436,0)</f>
        <v>0</v>
      </c>
    </row>
    <row r="437" customFormat="false" ht="13.8" hidden="false" customHeight="false" outlineLevel="0" collapsed="false">
      <c r="A437" s="3" t="n">
        <v>436</v>
      </c>
      <c r="B437" s="3" t="s">
        <v>721</v>
      </c>
      <c r="C437" s="3" t="s">
        <v>105</v>
      </c>
      <c r="D437" s="3" t="s">
        <v>61</v>
      </c>
      <c r="E437" s="25" t="s">
        <v>877</v>
      </c>
      <c r="F437" s="3" t="s">
        <v>879</v>
      </c>
      <c r="G437" s="3"/>
      <c r="K437" s="13" t="n">
        <f aca="false">_xlfn.IFS(F437="","", F437=C437,1, F437&lt;&gt;C437,0)</f>
        <v>0</v>
      </c>
      <c r="L437" s="13" t="str">
        <f aca="false">_xlfn.IFS(G437="","", G437=D437,1, G437&lt;&gt;D437,0)</f>
        <v/>
      </c>
    </row>
    <row r="438" customFormat="false" ht="13.8" hidden="false" customHeight="false" outlineLevel="0" collapsed="false">
      <c r="A438" s="3" t="n">
        <v>437</v>
      </c>
      <c r="B438" s="3" t="s">
        <v>668</v>
      </c>
      <c r="C438" s="3" t="s">
        <v>105</v>
      </c>
      <c r="D438" s="3" t="s">
        <v>61</v>
      </c>
      <c r="E438" s="25" t="s">
        <v>877</v>
      </c>
      <c r="F438" s="3" t="s">
        <v>150</v>
      </c>
      <c r="G438" s="3" t="s">
        <v>63</v>
      </c>
      <c r="K438" s="13" t="n">
        <f aca="false">_xlfn.IFS(F438="","", F438=C438,1, F438&lt;&gt;C438,0)</f>
        <v>0</v>
      </c>
      <c r="L438" s="13" t="n">
        <f aca="false">_xlfn.IFS(G438="","", G438=D438,1, G438&lt;&gt;D438,0)</f>
        <v>0</v>
      </c>
    </row>
    <row r="439" customFormat="false" ht="13.8" hidden="false" customHeight="false" outlineLevel="0" collapsed="false">
      <c r="A439" s="3" t="n">
        <v>438</v>
      </c>
      <c r="B439" s="3" t="s">
        <v>663</v>
      </c>
      <c r="C439" s="3" t="s">
        <v>105</v>
      </c>
      <c r="D439" s="3" t="s">
        <v>61</v>
      </c>
      <c r="E439" s="25" t="s">
        <v>877</v>
      </c>
      <c r="F439" s="3" t="s">
        <v>879</v>
      </c>
      <c r="G439" s="3"/>
      <c r="K439" s="13" t="n">
        <f aca="false">_xlfn.IFS(F439="","", F439=C439,1, F439&lt;&gt;C439,0)</f>
        <v>0</v>
      </c>
      <c r="L439" s="13" t="str">
        <f aca="false">_xlfn.IFS(G439="","", G439=D439,1, G439&lt;&gt;D439,0)</f>
        <v/>
      </c>
    </row>
    <row r="440" customFormat="false" ht="13.8" hidden="false" customHeight="false" outlineLevel="0" collapsed="false">
      <c r="A440" s="3" t="n">
        <v>439</v>
      </c>
      <c r="B440" s="3" t="s">
        <v>622</v>
      </c>
      <c r="C440" s="3" t="s">
        <v>105</v>
      </c>
      <c r="D440" s="3" t="s">
        <v>61</v>
      </c>
      <c r="E440" s="25" t="s">
        <v>874</v>
      </c>
      <c r="F440" s="3" t="s">
        <v>105</v>
      </c>
      <c r="G440" s="3" t="s">
        <v>61</v>
      </c>
      <c r="K440" s="13" t="n">
        <f aca="false">_xlfn.IFS(F440="","", F440=C440,1, F440&lt;&gt;C440,0)</f>
        <v>1</v>
      </c>
      <c r="L440" s="13" t="n">
        <f aca="false">_xlfn.IFS(G440="","", G440=D440,1, G440&lt;&gt;D440,0)</f>
        <v>1</v>
      </c>
    </row>
    <row r="441" customFormat="false" ht="13.8" hidden="false" customHeight="false" outlineLevel="0" collapsed="false">
      <c r="A441" s="3" t="n">
        <v>440</v>
      </c>
      <c r="B441" s="3" t="s">
        <v>692</v>
      </c>
      <c r="C441" s="3" t="s">
        <v>105</v>
      </c>
      <c r="D441" s="3" t="s">
        <v>77</v>
      </c>
      <c r="E441" s="25" t="s">
        <v>877</v>
      </c>
      <c r="F441" s="3" t="s">
        <v>150</v>
      </c>
      <c r="G441" s="3" t="s">
        <v>63</v>
      </c>
      <c r="K441" s="13" t="n">
        <f aca="false">_xlfn.IFS(F441="","", F441=C441,1, F441&lt;&gt;C441,0)</f>
        <v>0</v>
      </c>
      <c r="L441" s="13" t="n">
        <f aca="false">_xlfn.IFS(G441="","", G441=D441,1, G441&lt;&gt;D441,0)</f>
        <v>0</v>
      </c>
    </row>
    <row r="442" customFormat="false" ht="13.8" hidden="false" customHeight="false" outlineLevel="0" collapsed="false">
      <c r="A442" s="3" t="n">
        <v>441</v>
      </c>
      <c r="B442" s="3" t="s">
        <v>851</v>
      </c>
      <c r="C442" s="3" t="s">
        <v>143</v>
      </c>
      <c r="D442" s="3" t="s">
        <v>288</v>
      </c>
      <c r="E442" s="25" t="s">
        <v>877</v>
      </c>
      <c r="F442" s="3" t="s">
        <v>879</v>
      </c>
      <c r="G442" s="3"/>
      <c r="K442" s="13" t="n">
        <f aca="false">_xlfn.IFS(F442="","", F442=C442,1, F442&lt;&gt;C442,0)</f>
        <v>0</v>
      </c>
      <c r="L442" s="13" t="str">
        <f aca="false">_xlfn.IFS(G442="","", G442=D442,1, G442&lt;&gt;D442,0)</f>
        <v/>
      </c>
    </row>
    <row r="443" customFormat="false" ht="13.8" hidden="false" customHeight="false" outlineLevel="0" collapsed="false">
      <c r="A443" s="3" t="n">
        <v>442</v>
      </c>
      <c r="B443" s="3" t="s">
        <v>441</v>
      </c>
      <c r="C443" s="3" t="s">
        <v>143</v>
      </c>
      <c r="D443" s="3" t="s">
        <v>198</v>
      </c>
      <c r="E443" s="25" t="s">
        <v>874</v>
      </c>
      <c r="F443" s="3" t="s">
        <v>105</v>
      </c>
      <c r="G443" s="3" t="s">
        <v>55</v>
      </c>
      <c r="K443" s="13" t="n">
        <f aca="false">_xlfn.IFS(F443="","", F443=C443,1, F443&lt;&gt;C443,0)</f>
        <v>0</v>
      </c>
      <c r="L443" s="13" t="n">
        <f aca="false">_xlfn.IFS(G443="","", G443=D443,1, G443&lt;&gt;D443,0)</f>
        <v>0</v>
      </c>
    </row>
    <row r="444" customFormat="false" ht="13.8" hidden="false" customHeight="false" outlineLevel="0" collapsed="false">
      <c r="A444" s="3" t="n">
        <v>443</v>
      </c>
      <c r="B444" s="3" t="s">
        <v>543</v>
      </c>
      <c r="C444" s="3" t="s">
        <v>143</v>
      </c>
      <c r="D444" s="3" t="s">
        <v>351</v>
      </c>
      <c r="E444" s="25" t="s">
        <v>878</v>
      </c>
      <c r="F444" s="3"/>
      <c r="G444" s="3"/>
      <c r="K444" s="13" t="str">
        <f aca="false">_xlfn.IFS(F444="","", F444=C444,1, F444&lt;&gt;C444,0)</f>
        <v/>
      </c>
      <c r="L444" s="13" t="str">
        <f aca="false">_xlfn.IFS(G444="","", G444=D444,1, G444&lt;&gt;D444,0)</f>
        <v/>
      </c>
    </row>
    <row r="445" customFormat="false" ht="13.8" hidden="false" customHeight="false" outlineLevel="0" collapsed="false">
      <c r="A445" s="3" t="n">
        <v>444</v>
      </c>
      <c r="B445" s="3" t="s">
        <v>538</v>
      </c>
      <c r="C445" s="3" t="s">
        <v>105</v>
      </c>
      <c r="D445" s="3" t="s">
        <v>61</v>
      </c>
      <c r="E445" s="25" t="s">
        <v>877</v>
      </c>
      <c r="F445" s="3" t="s">
        <v>150</v>
      </c>
      <c r="G445" s="3" t="s">
        <v>63</v>
      </c>
      <c r="K445" s="13" t="n">
        <f aca="false">_xlfn.IFS(F445="","", F445=C445,1, F445&lt;&gt;C445,0)</f>
        <v>0</v>
      </c>
      <c r="L445" s="13" t="n">
        <f aca="false">_xlfn.IFS(G445="","", G445=D445,1, G445&lt;&gt;D445,0)</f>
        <v>0</v>
      </c>
    </row>
    <row r="446" customFormat="false" ht="13.8" hidden="false" customHeight="false" outlineLevel="0" collapsed="false">
      <c r="A446" s="3" t="n">
        <v>445</v>
      </c>
      <c r="B446" s="3" t="s">
        <v>794</v>
      </c>
      <c r="C446" s="3" t="s">
        <v>105</v>
      </c>
      <c r="D446" s="3" t="s">
        <v>61</v>
      </c>
      <c r="E446" s="25" t="s">
        <v>877</v>
      </c>
      <c r="F446" s="3" t="s">
        <v>150</v>
      </c>
      <c r="G446" s="3" t="s">
        <v>63</v>
      </c>
      <c r="K446" s="13" t="n">
        <f aca="false">_xlfn.IFS(F446="","", F446=C446,1, F446&lt;&gt;C446,0)</f>
        <v>0</v>
      </c>
      <c r="L446" s="13" t="n">
        <f aca="false">_xlfn.IFS(G446="","", G446=D446,1, G446&lt;&gt;D446,0)</f>
        <v>0</v>
      </c>
    </row>
    <row r="447" customFormat="false" ht="13.8" hidden="false" customHeight="false" outlineLevel="0" collapsed="false">
      <c r="A447" s="3" t="n">
        <v>446</v>
      </c>
      <c r="B447" s="3" t="s">
        <v>514</v>
      </c>
      <c r="C447" s="3" t="s">
        <v>105</v>
      </c>
      <c r="D447" s="3" t="s">
        <v>77</v>
      </c>
      <c r="E447" s="25" t="s">
        <v>878</v>
      </c>
      <c r="F447" s="3"/>
      <c r="G447" s="3"/>
      <c r="K447" s="13" t="str">
        <f aca="false">_xlfn.IFS(F447="","", F447=C447,1, F447&lt;&gt;C447,0)</f>
        <v/>
      </c>
      <c r="L447" s="13" t="str">
        <f aca="false">_xlfn.IFS(G447="","", G447=D447,1, G447&lt;&gt;D447,0)</f>
        <v/>
      </c>
    </row>
    <row r="448" customFormat="false" ht="13.8" hidden="false" customHeight="false" outlineLevel="0" collapsed="false">
      <c r="A448" s="3" t="n">
        <v>447</v>
      </c>
      <c r="B448" s="3" t="s">
        <v>522</v>
      </c>
      <c r="C448" s="3" t="s">
        <v>105</v>
      </c>
      <c r="D448" s="3" t="s">
        <v>61</v>
      </c>
      <c r="E448" s="25" t="s">
        <v>878</v>
      </c>
      <c r="F448" s="3"/>
      <c r="G448" s="3"/>
      <c r="K448" s="13" t="str">
        <f aca="false">_xlfn.IFS(F448="","", F448=C448,1, F448&lt;&gt;C448,0)</f>
        <v/>
      </c>
      <c r="L448" s="13" t="str">
        <f aca="false">_xlfn.IFS(G448="","", G448=D448,1, G448&lt;&gt;D448,0)</f>
        <v/>
      </c>
    </row>
    <row r="449" customFormat="false" ht="13.8" hidden="false" customHeight="false" outlineLevel="0" collapsed="false">
      <c r="A449" s="3" t="n">
        <v>448</v>
      </c>
      <c r="B449" s="3" t="s">
        <v>506</v>
      </c>
      <c r="C449" s="3" t="s">
        <v>105</v>
      </c>
      <c r="D449" s="3" t="s">
        <v>61</v>
      </c>
      <c r="E449" s="25" t="s">
        <v>877</v>
      </c>
      <c r="F449" s="3" t="s">
        <v>879</v>
      </c>
      <c r="G449" s="3"/>
      <c r="K449" s="13" t="n">
        <f aca="false">_xlfn.IFS(F449="","", F449=C449,1, F449&lt;&gt;C449,0)</f>
        <v>0</v>
      </c>
      <c r="L449" s="13" t="str">
        <f aca="false">_xlfn.IFS(G449="","", G449=D449,1, G449&lt;&gt;D449,0)</f>
        <v/>
      </c>
    </row>
    <row r="450" customFormat="false" ht="13.8" hidden="false" customHeight="false" outlineLevel="0" collapsed="false">
      <c r="A450" s="3" t="n">
        <v>449</v>
      </c>
      <c r="B450" s="3" t="s">
        <v>509</v>
      </c>
      <c r="C450" s="3" t="s">
        <v>143</v>
      </c>
      <c r="D450" s="3" t="s">
        <v>256</v>
      </c>
      <c r="E450" s="25" t="s">
        <v>874</v>
      </c>
      <c r="F450" s="3" t="s">
        <v>105</v>
      </c>
      <c r="G450" s="3" t="s">
        <v>61</v>
      </c>
      <c r="K450" s="13" t="n">
        <f aca="false">_xlfn.IFS(F450="","", F450=C450,1, F450&lt;&gt;C450,0)</f>
        <v>0</v>
      </c>
      <c r="L450" s="13" t="n">
        <f aca="false">_xlfn.IFS(G450="","", G450=D450,1, G450&lt;&gt;D450,0)</f>
        <v>0</v>
      </c>
    </row>
    <row r="451" customFormat="false" ht="13.8" hidden="false" customHeight="false" outlineLevel="0" collapsed="false">
      <c r="A451" s="3" t="n">
        <v>450</v>
      </c>
      <c r="B451" s="3" t="s">
        <v>296</v>
      </c>
      <c r="C451" s="3" t="s">
        <v>105</v>
      </c>
      <c r="D451" s="3" t="s">
        <v>61</v>
      </c>
      <c r="E451" s="25" t="s">
        <v>877</v>
      </c>
      <c r="F451" s="3" t="s">
        <v>150</v>
      </c>
      <c r="G451" s="3" t="s">
        <v>63</v>
      </c>
      <c r="K451" s="13" t="n">
        <f aca="false">_xlfn.IFS(F451="","", F451=C451,1, F451&lt;&gt;C451,0)</f>
        <v>0</v>
      </c>
      <c r="L451" s="13" t="n">
        <f aca="false">_xlfn.IFS(G451="","", G451=D451,1, G451&lt;&gt;D451,0)</f>
        <v>0</v>
      </c>
    </row>
    <row r="452" customFormat="false" ht="13.8" hidden="false" customHeight="false" outlineLevel="0" collapsed="false">
      <c r="A452" s="3" t="n">
        <v>451</v>
      </c>
      <c r="B452" s="3" t="s">
        <v>340</v>
      </c>
      <c r="C452" s="3" t="s">
        <v>105</v>
      </c>
      <c r="D452" s="3" t="s">
        <v>61</v>
      </c>
      <c r="E452" s="25" t="s">
        <v>877</v>
      </c>
      <c r="F452" s="3" t="s">
        <v>150</v>
      </c>
      <c r="G452" s="3" t="s">
        <v>63</v>
      </c>
      <c r="K452" s="13" t="n">
        <f aca="false">_xlfn.IFS(F452="","", F452=C452,1, F452&lt;&gt;C452,0)</f>
        <v>0</v>
      </c>
      <c r="L452" s="13" t="n">
        <f aca="false">_xlfn.IFS(G452="","", G452=D452,1, G452&lt;&gt;D452,0)</f>
        <v>0</v>
      </c>
    </row>
    <row r="453" customFormat="false" ht="13.8" hidden="false" customHeight="false" outlineLevel="0" collapsed="false">
      <c r="A453" s="3" t="n">
        <v>452</v>
      </c>
      <c r="B453" s="3" t="s">
        <v>369</v>
      </c>
      <c r="C453" s="3" t="s">
        <v>105</v>
      </c>
      <c r="D453" s="3" t="s">
        <v>61</v>
      </c>
      <c r="E453" s="25" t="s">
        <v>874</v>
      </c>
      <c r="F453" s="3" t="s">
        <v>105</v>
      </c>
      <c r="G453" s="3" t="s">
        <v>61</v>
      </c>
      <c r="K453" s="13" t="n">
        <f aca="false">_xlfn.IFS(F453="","", F453=C453,1, F453&lt;&gt;C453,0)</f>
        <v>1</v>
      </c>
      <c r="L453" s="13" t="n">
        <f aca="false">_xlfn.IFS(G453="","", G453=D453,1, G453&lt;&gt;D453,0)</f>
        <v>1</v>
      </c>
    </row>
    <row r="454" customFormat="false" ht="13.8" hidden="false" customHeight="false" outlineLevel="0" collapsed="false">
      <c r="A454" s="3" t="n">
        <v>453</v>
      </c>
      <c r="B454" s="3" t="s">
        <v>401</v>
      </c>
      <c r="C454" s="3" t="s">
        <v>105</v>
      </c>
      <c r="D454" s="3" t="s">
        <v>61</v>
      </c>
      <c r="E454" s="25" t="s">
        <v>874</v>
      </c>
      <c r="F454" s="3" t="s">
        <v>105</v>
      </c>
      <c r="G454" s="3" t="s">
        <v>61</v>
      </c>
      <c r="K454" s="13" t="n">
        <f aca="false">_xlfn.IFS(F454="","", F454=C454,1, F454&lt;&gt;C454,0)</f>
        <v>1</v>
      </c>
      <c r="L454" s="13" t="n">
        <f aca="false">_xlfn.IFS(G454="","", G454=D454,1, G454&lt;&gt;D454,0)</f>
        <v>1</v>
      </c>
    </row>
    <row r="455" customFormat="false" ht="13.8" hidden="false" customHeight="false" outlineLevel="0" collapsed="false">
      <c r="A455" s="3" t="n">
        <v>454</v>
      </c>
      <c r="B455" s="3" t="s">
        <v>297</v>
      </c>
      <c r="C455" s="3" t="s">
        <v>143</v>
      </c>
      <c r="D455" s="3" t="s">
        <v>256</v>
      </c>
      <c r="E455" s="25" t="s">
        <v>874</v>
      </c>
      <c r="F455" s="3" t="s">
        <v>105</v>
      </c>
      <c r="G455" s="3" t="s">
        <v>61</v>
      </c>
      <c r="K455" s="13" t="n">
        <f aca="false">_xlfn.IFS(F455="","", F455=C455,1, F455&lt;&gt;C455,0)</f>
        <v>0</v>
      </c>
      <c r="L455" s="13" t="n">
        <f aca="false">_xlfn.IFS(G455="","", G455=D455,1, G455&lt;&gt;D455,0)</f>
        <v>0</v>
      </c>
    </row>
    <row r="456" customFormat="false" ht="13.8" hidden="false" customHeight="false" outlineLevel="0" collapsed="false">
      <c r="A456" s="3" t="n">
        <v>455</v>
      </c>
      <c r="B456" s="3" t="s">
        <v>689</v>
      </c>
      <c r="C456" s="3" t="s">
        <v>105</v>
      </c>
      <c r="D456" s="3" t="s">
        <v>61</v>
      </c>
      <c r="E456" s="25" t="s">
        <v>874</v>
      </c>
      <c r="F456" s="3" t="s">
        <v>105</v>
      </c>
      <c r="G456" s="3" t="s">
        <v>55</v>
      </c>
      <c r="K456" s="13" t="n">
        <f aca="false">_xlfn.IFS(F456="","", F456=C456,1, F456&lt;&gt;C456,0)</f>
        <v>1</v>
      </c>
      <c r="L456" s="13" t="n">
        <f aca="false">_xlfn.IFS(G456="","", G456=D456,1, G456&lt;&gt;D456,0)</f>
        <v>0</v>
      </c>
    </row>
    <row r="457" customFormat="false" ht="13.8" hidden="false" customHeight="false" outlineLevel="0" collapsed="false">
      <c r="A457" s="3" t="n">
        <v>456</v>
      </c>
      <c r="B457" s="3" t="s">
        <v>660</v>
      </c>
      <c r="C457" s="3" t="s">
        <v>105</v>
      </c>
      <c r="D457" s="3" t="s">
        <v>61</v>
      </c>
      <c r="E457" s="25" t="s">
        <v>874</v>
      </c>
      <c r="F457" s="3" t="s">
        <v>105</v>
      </c>
      <c r="G457" s="3" t="s">
        <v>61</v>
      </c>
      <c r="K457" s="13" t="n">
        <f aca="false">_xlfn.IFS(F457="","", F457=C457,1, F457&lt;&gt;C457,0)</f>
        <v>1</v>
      </c>
      <c r="L457" s="13" t="n">
        <f aca="false">_xlfn.IFS(G457="","", G457=D457,1, G457&lt;&gt;D457,0)</f>
        <v>1</v>
      </c>
    </row>
    <row r="458" customFormat="false" ht="13.8" hidden="false" customHeight="false" outlineLevel="0" collapsed="false">
      <c r="A458" s="3" t="n">
        <v>457</v>
      </c>
      <c r="B458" s="3" t="s">
        <v>625</v>
      </c>
      <c r="C458" s="3" t="s">
        <v>105</v>
      </c>
      <c r="D458" s="3" t="s">
        <v>77</v>
      </c>
      <c r="E458" s="25" t="s">
        <v>877</v>
      </c>
      <c r="F458" s="3" t="s">
        <v>879</v>
      </c>
      <c r="G458" s="3"/>
      <c r="K458" s="13" t="n">
        <f aca="false">_xlfn.IFS(F458="","", F458=C458,1, F458&lt;&gt;C458,0)</f>
        <v>0</v>
      </c>
      <c r="L458" s="13" t="str">
        <f aca="false">_xlfn.IFS(G458="","", G458=D458,1, G458&lt;&gt;D458,0)</f>
        <v/>
      </c>
    </row>
    <row r="459" customFormat="false" ht="13.8" hidden="false" customHeight="false" outlineLevel="0" collapsed="false">
      <c r="A459" s="3" t="n">
        <v>458</v>
      </c>
      <c r="B459" s="3" t="s">
        <v>541</v>
      </c>
      <c r="C459" s="3" t="s">
        <v>143</v>
      </c>
      <c r="D459" s="3" t="s">
        <v>198</v>
      </c>
      <c r="E459" s="25" t="s">
        <v>874</v>
      </c>
      <c r="F459" s="3" t="s">
        <v>105</v>
      </c>
      <c r="G459" s="3" t="s">
        <v>61</v>
      </c>
      <c r="K459" s="13" t="n">
        <f aca="false">_xlfn.IFS(F459="","", F459=C459,1, F459&lt;&gt;C459,0)</f>
        <v>0</v>
      </c>
      <c r="L459" s="13" t="n">
        <f aca="false">_xlfn.IFS(G459="","", G459=D459,1, G459&lt;&gt;D459,0)</f>
        <v>0</v>
      </c>
    </row>
    <row r="460" customFormat="false" ht="13.8" hidden="false" customHeight="false" outlineLevel="0" collapsed="false">
      <c r="A460" s="3" t="n">
        <v>459</v>
      </c>
      <c r="B460" s="3" t="s">
        <v>502</v>
      </c>
      <c r="C460" s="3" t="s">
        <v>105</v>
      </c>
      <c r="D460" s="3" t="s">
        <v>61</v>
      </c>
      <c r="E460" s="25" t="s">
        <v>877</v>
      </c>
      <c r="F460" s="3" t="s">
        <v>879</v>
      </c>
      <c r="G460" s="3"/>
      <c r="K460" s="13" t="n">
        <f aca="false">_xlfn.IFS(F460="","", F460=C460,1, F460&lt;&gt;C460,0)</f>
        <v>0</v>
      </c>
      <c r="L460" s="13" t="str">
        <f aca="false">_xlfn.IFS(G460="","", G460=D460,1, G460&lt;&gt;D460,0)</f>
        <v/>
      </c>
    </row>
    <row r="461" customFormat="false" ht="13.8" hidden="false" customHeight="false" outlineLevel="0" collapsed="false">
      <c r="A461" s="3" t="n">
        <v>460</v>
      </c>
      <c r="B461" s="3" t="s">
        <v>298</v>
      </c>
      <c r="C461" s="3" t="s">
        <v>105</v>
      </c>
      <c r="D461" s="3" t="s">
        <v>55</v>
      </c>
      <c r="E461" s="25" t="s">
        <v>874</v>
      </c>
      <c r="F461" s="3" t="s">
        <v>105</v>
      </c>
      <c r="G461" s="3" t="s">
        <v>61</v>
      </c>
      <c r="K461" s="13" t="n">
        <f aca="false">_xlfn.IFS(F461="","", F461=C461,1, F461&lt;&gt;C461,0)</f>
        <v>1</v>
      </c>
      <c r="L461" s="13" t="n">
        <f aca="false">_xlfn.IFS(G461="","", G461=D461,1, G461&lt;&gt;D461,0)</f>
        <v>0</v>
      </c>
    </row>
    <row r="462" customFormat="false" ht="13.8" hidden="false" customHeight="false" outlineLevel="0" collapsed="false">
      <c r="A462" s="3" t="n">
        <v>461</v>
      </c>
      <c r="B462" s="3" t="s">
        <v>694</v>
      </c>
      <c r="C462" s="3" t="s">
        <v>143</v>
      </c>
      <c r="D462" s="3" t="s">
        <v>288</v>
      </c>
      <c r="E462" s="25" t="s">
        <v>874</v>
      </c>
      <c r="F462" s="3" t="s">
        <v>105</v>
      </c>
      <c r="G462" s="3" t="s">
        <v>61</v>
      </c>
      <c r="K462" s="13" t="n">
        <f aca="false">_xlfn.IFS(F462="","", F462=C462,1, F462&lt;&gt;C462,0)</f>
        <v>0</v>
      </c>
      <c r="L462" s="13" t="n">
        <f aca="false">_xlfn.IFS(G462="","", G462=D462,1, G462&lt;&gt;D462,0)</f>
        <v>0</v>
      </c>
    </row>
    <row r="463" customFormat="false" ht="13.8" hidden="false" customHeight="false" outlineLevel="0" collapsed="false">
      <c r="A463" s="3" t="n">
        <v>462</v>
      </c>
      <c r="B463" s="3" t="s">
        <v>775</v>
      </c>
      <c r="C463" s="3" t="s">
        <v>105</v>
      </c>
      <c r="D463" s="3" t="s">
        <v>61</v>
      </c>
      <c r="E463" s="25" t="s">
        <v>877</v>
      </c>
      <c r="F463" s="3" t="s">
        <v>879</v>
      </c>
      <c r="G463" s="3"/>
      <c r="K463" s="13" t="n">
        <f aca="false">_xlfn.IFS(F463="","", F463=C463,1, F463&lt;&gt;C463,0)</f>
        <v>0</v>
      </c>
      <c r="L463" s="13" t="str">
        <f aca="false">_xlfn.IFS(G463="","", G463=D463,1, G463&lt;&gt;D463,0)</f>
        <v/>
      </c>
    </row>
    <row r="464" customFormat="false" ht="13.8" hidden="false" customHeight="false" outlineLevel="0" collapsed="false">
      <c r="A464" s="3" t="n">
        <v>463</v>
      </c>
      <c r="B464" s="3" t="s">
        <v>396</v>
      </c>
      <c r="C464" s="3" t="s">
        <v>150</v>
      </c>
      <c r="D464" s="3" t="s">
        <v>75</v>
      </c>
      <c r="E464" s="25" t="s">
        <v>874</v>
      </c>
      <c r="F464" s="3" t="s">
        <v>105</v>
      </c>
      <c r="G464" s="3" t="s">
        <v>61</v>
      </c>
      <c r="K464" s="13" t="n">
        <f aca="false">_xlfn.IFS(F464="","", F464=C464,1, F464&lt;&gt;C464,0)</f>
        <v>0</v>
      </c>
      <c r="L464" s="13" t="n">
        <f aca="false">_xlfn.IFS(G464="","", G464=D464,1, G464&lt;&gt;D464,0)</f>
        <v>0</v>
      </c>
    </row>
    <row r="465" customFormat="false" ht="13.8" hidden="false" customHeight="false" outlineLevel="0" collapsed="false">
      <c r="A465" s="3" t="n">
        <v>464</v>
      </c>
      <c r="B465" s="3" t="s">
        <v>414</v>
      </c>
      <c r="C465" s="3" t="s">
        <v>150</v>
      </c>
      <c r="D465" s="3" t="s">
        <v>83</v>
      </c>
      <c r="E465" s="25" t="s">
        <v>874</v>
      </c>
      <c r="F465" s="3" t="s">
        <v>105</v>
      </c>
      <c r="G465" s="3" t="s">
        <v>61</v>
      </c>
      <c r="K465" s="13" t="n">
        <f aca="false">_xlfn.IFS(F465="","", F465=C465,1, F465&lt;&gt;C465,0)</f>
        <v>0</v>
      </c>
      <c r="L465" s="13" t="n">
        <f aca="false">_xlfn.IFS(G465="","", G465=D465,1, G465&lt;&gt;D465,0)</f>
        <v>0</v>
      </c>
    </row>
    <row r="466" customFormat="false" ht="13.8" hidden="false" customHeight="false" outlineLevel="0" collapsed="false">
      <c r="A466" s="3" t="n">
        <v>465</v>
      </c>
      <c r="B466" s="3" t="s">
        <v>790</v>
      </c>
      <c r="C466" s="3" t="s">
        <v>105</v>
      </c>
      <c r="D466" s="3" t="s">
        <v>61</v>
      </c>
      <c r="E466" s="25" t="s">
        <v>874</v>
      </c>
      <c r="F466" s="3" t="s">
        <v>105</v>
      </c>
      <c r="G466" s="3" t="s">
        <v>61</v>
      </c>
      <c r="K466" s="13" t="n">
        <f aca="false">_xlfn.IFS(F466="","", F466=C466,1, F466&lt;&gt;C466,0)</f>
        <v>1</v>
      </c>
      <c r="L466" s="13" t="n">
        <f aca="false">_xlfn.IFS(G466="","", G466=D466,1, G466&lt;&gt;D466,0)</f>
        <v>1</v>
      </c>
    </row>
    <row r="467" customFormat="false" ht="13.8" hidden="false" customHeight="false" outlineLevel="0" collapsed="false">
      <c r="A467" s="3" t="n">
        <v>466</v>
      </c>
      <c r="B467" s="3" t="s">
        <v>299</v>
      </c>
      <c r="C467" s="3" t="s">
        <v>143</v>
      </c>
      <c r="D467" s="3" t="s">
        <v>198</v>
      </c>
      <c r="E467" s="25" t="s">
        <v>877</v>
      </c>
      <c r="F467" s="3" t="s">
        <v>150</v>
      </c>
      <c r="G467" s="3" t="s">
        <v>63</v>
      </c>
      <c r="K467" s="13" t="n">
        <f aca="false">_xlfn.IFS(F467="","", F467=C467,1, F467&lt;&gt;C467,0)</f>
        <v>0</v>
      </c>
      <c r="L467" s="13" t="n">
        <f aca="false">_xlfn.IFS(G467="","", G467=D467,1, G467&lt;&gt;D467,0)</f>
        <v>0</v>
      </c>
    </row>
    <row r="468" customFormat="false" ht="13.8" hidden="false" customHeight="false" outlineLevel="0" collapsed="false">
      <c r="A468" s="3" t="n">
        <v>467</v>
      </c>
      <c r="B468" s="3" t="s">
        <v>799</v>
      </c>
      <c r="C468" s="3" t="s">
        <v>105</v>
      </c>
      <c r="D468" s="3" t="s">
        <v>61</v>
      </c>
      <c r="E468" s="25" t="s">
        <v>877</v>
      </c>
      <c r="F468" s="3" t="s">
        <v>879</v>
      </c>
      <c r="G468" s="3"/>
      <c r="K468" s="13" t="n">
        <f aca="false">_xlfn.IFS(F468="","", F468=C468,1, F468&lt;&gt;C468,0)</f>
        <v>0</v>
      </c>
      <c r="L468" s="13" t="str">
        <f aca="false">_xlfn.IFS(G468="","", G468=D468,1, G468&lt;&gt;D468,0)</f>
        <v/>
      </c>
    </row>
    <row r="469" customFormat="false" ht="13.8" hidden="false" customHeight="false" outlineLevel="0" collapsed="false">
      <c r="A469" s="3" t="n">
        <v>468</v>
      </c>
      <c r="B469" s="3" t="s">
        <v>797</v>
      </c>
      <c r="C469" s="3" t="s">
        <v>105</v>
      </c>
      <c r="D469" s="3" t="s">
        <v>61</v>
      </c>
      <c r="E469" s="25" t="s">
        <v>877</v>
      </c>
      <c r="F469" s="3" t="s">
        <v>150</v>
      </c>
      <c r="G469" s="3" t="s">
        <v>883</v>
      </c>
      <c r="K469" s="13" t="n">
        <f aca="false">_xlfn.IFS(F469="","", F469=C469,1, F469&lt;&gt;C469,0)</f>
        <v>0</v>
      </c>
      <c r="L469" s="13" t="n">
        <f aca="false">_xlfn.IFS(G469="","", G469=D469,1, G469&lt;&gt;D469,0)</f>
        <v>0</v>
      </c>
    </row>
    <row r="470" customFormat="false" ht="13.8" hidden="false" customHeight="false" outlineLevel="0" collapsed="false">
      <c r="A470" s="3" t="n">
        <v>469</v>
      </c>
      <c r="B470" s="3" t="s">
        <v>795</v>
      </c>
      <c r="C470" s="3" t="s">
        <v>105</v>
      </c>
      <c r="D470" s="3" t="s">
        <v>61</v>
      </c>
      <c r="E470" s="25" t="s">
        <v>877</v>
      </c>
      <c r="F470" s="3" t="s">
        <v>150</v>
      </c>
      <c r="G470" s="3" t="s">
        <v>83</v>
      </c>
      <c r="K470" s="13" t="n">
        <f aca="false">_xlfn.IFS(F470="","", F470=C470,1, F470&lt;&gt;C470,0)</f>
        <v>0</v>
      </c>
      <c r="L470" s="13" t="n">
        <f aca="false">_xlfn.IFS(G470="","", G470=D470,1, G470&lt;&gt;D470,0)</f>
        <v>0</v>
      </c>
    </row>
    <row r="471" customFormat="false" ht="13.8" hidden="false" customHeight="false" outlineLevel="0" collapsed="false">
      <c r="A471" s="3" t="n">
        <v>470</v>
      </c>
      <c r="B471" s="3" t="s">
        <v>757</v>
      </c>
      <c r="C471" s="3" t="s">
        <v>105</v>
      </c>
      <c r="D471" s="3" t="s">
        <v>61</v>
      </c>
      <c r="E471" s="25" t="s">
        <v>877</v>
      </c>
      <c r="F471" s="3" t="s">
        <v>150</v>
      </c>
      <c r="G471" s="3" t="s">
        <v>83</v>
      </c>
      <c r="K471" s="13" t="n">
        <f aca="false">_xlfn.IFS(F471="","", F471=C471,1, F471&lt;&gt;C471,0)</f>
        <v>0</v>
      </c>
      <c r="L471" s="13" t="n">
        <f aca="false">_xlfn.IFS(G471="","", G471=D471,1, G471&lt;&gt;D471,0)</f>
        <v>0</v>
      </c>
    </row>
    <row r="472" customFormat="false" ht="13.8" hidden="false" customHeight="false" outlineLevel="0" collapsed="false">
      <c r="A472" s="3" t="n">
        <v>471</v>
      </c>
      <c r="B472" s="3" t="s">
        <v>699</v>
      </c>
      <c r="C472" s="3" t="s">
        <v>150</v>
      </c>
      <c r="D472" s="3" t="s">
        <v>83</v>
      </c>
      <c r="E472" s="25" t="s">
        <v>878</v>
      </c>
      <c r="F472" s="3"/>
      <c r="G472" s="3"/>
      <c r="K472" s="13" t="str">
        <f aca="false">_xlfn.IFS(F472="","", F472=C472,1, F472&lt;&gt;C472,0)</f>
        <v/>
      </c>
      <c r="L472" s="13" t="str">
        <f aca="false">_xlfn.IFS(G472="","", G472=D472,1, G472&lt;&gt;D472,0)</f>
        <v/>
      </c>
    </row>
    <row r="473" customFormat="false" ht="13.8" hidden="false" customHeight="false" outlineLevel="0" collapsed="false">
      <c r="A473" s="3" t="n">
        <v>472</v>
      </c>
      <c r="B473" s="3" t="s">
        <v>574</v>
      </c>
      <c r="C473" s="3" t="s">
        <v>105</v>
      </c>
      <c r="D473" s="3" t="s">
        <v>61</v>
      </c>
      <c r="E473" s="25" t="s">
        <v>877</v>
      </c>
      <c r="F473" s="3" t="s">
        <v>879</v>
      </c>
      <c r="G473" s="3"/>
      <c r="K473" s="13" t="n">
        <f aca="false">_xlfn.IFS(F473="","", F473=C473,1, F473&lt;&gt;C473,0)</f>
        <v>0</v>
      </c>
      <c r="L473" s="13" t="str">
        <f aca="false">_xlfn.IFS(G473="","", G473=D473,1, G473&lt;&gt;D473,0)</f>
        <v/>
      </c>
    </row>
    <row r="474" customFormat="false" ht="13.8" hidden="false" customHeight="false" outlineLevel="0" collapsed="false">
      <c r="A474" s="3" t="n">
        <v>473</v>
      </c>
      <c r="B474" s="3" t="s">
        <v>247</v>
      </c>
      <c r="C474" s="3" t="s">
        <v>105</v>
      </c>
      <c r="D474" s="3" t="s">
        <v>77</v>
      </c>
      <c r="E474" s="25" t="s">
        <v>877</v>
      </c>
      <c r="F474" s="3" t="s">
        <v>150</v>
      </c>
      <c r="G474" s="3" t="s">
        <v>883</v>
      </c>
      <c r="K474" s="13" t="n">
        <f aca="false">_xlfn.IFS(F474="","", F474=C474,1, F474&lt;&gt;C474,0)</f>
        <v>0</v>
      </c>
      <c r="L474" s="13" t="n">
        <f aca="false">_xlfn.IFS(G474="","", G474=D474,1, G474&lt;&gt;D474,0)</f>
        <v>0</v>
      </c>
    </row>
    <row r="475" customFormat="false" ht="13.8" hidden="false" customHeight="false" outlineLevel="0" collapsed="false">
      <c r="A475" s="3" t="n">
        <v>474</v>
      </c>
      <c r="B475" s="3" t="s">
        <v>480</v>
      </c>
      <c r="C475" s="3" t="s">
        <v>143</v>
      </c>
      <c r="D475" s="3" t="s">
        <v>288</v>
      </c>
      <c r="E475" s="25" t="s">
        <v>874</v>
      </c>
      <c r="F475" s="3" t="s">
        <v>105</v>
      </c>
      <c r="G475" s="3" t="s">
        <v>61</v>
      </c>
      <c r="K475" s="13" t="n">
        <f aca="false">_xlfn.IFS(F475="","", F475=C475,1, F475&lt;&gt;C475,0)</f>
        <v>0</v>
      </c>
      <c r="L475" s="13" t="n">
        <f aca="false">_xlfn.IFS(G475="","", G475=D475,1, G475&lt;&gt;D475,0)</f>
        <v>0</v>
      </c>
    </row>
    <row r="476" customFormat="false" ht="13.8" hidden="false" customHeight="false" outlineLevel="0" collapsed="false">
      <c r="A476" s="3" t="n">
        <v>475</v>
      </c>
      <c r="B476" s="3" t="s">
        <v>838</v>
      </c>
      <c r="C476" s="3" t="s">
        <v>150</v>
      </c>
      <c r="D476" s="3" t="s">
        <v>75</v>
      </c>
      <c r="E476" s="25" t="s">
        <v>878</v>
      </c>
      <c r="F476" s="3"/>
      <c r="G476" s="3"/>
      <c r="K476" s="13" t="str">
        <f aca="false">_xlfn.IFS(F476="","", F476=C476,1, F476&lt;&gt;C476,0)</f>
        <v/>
      </c>
      <c r="L476" s="13" t="str">
        <f aca="false">_xlfn.IFS(G476="","", G476=D476,1, G476&lt;&gt;D476,0)</f>
        <v/>
      </c>
    </row>
    <row r="477" customFormat="false" ht="13.8" hidden="false" customHeight="false" outlineLevel="0" collapsed="false">
      <c r="A477" s="3" t="n">
        <v>476</v>
      </c>
      <c r="B477" s="3" t="s">
        <v>612</v>
      </c>
      <c r="C477" s="3" t="s">
        <v>105</v>
      </c>
      <c r="D477" s="3" t="s">
        <v>61</v>
      </c>
      <c r="E477" s="25" t="s">
        <v>877</v>
      </c>
      <c r="F477" s="3" t="s">
        <v>150</v>
      </c>
      <c r="G477" s="3" t="s">
        <v>63</v>
      </c>
      <c r="K477" s="13" t="n">
        <f aca="false">_xlfn.IFS(F477="","", F477=C477,1, F477&lt;&gt;C477,0)</f>
        <v>0</v>
      </c>
      <c r="L477" s="13" t="n">
        <f aca="false">_xlfn.IFS(G477="","", G477=D477,1, G477&lt;&gt;D477,0)</f>
        <v>0</v>
      </c>
    </row>
    <row r="478" customFormat="false" ht="13.8" hidden="false" customHeight="false" outlineLevel="0" collapsed="false">
      <c r="A478" s="3" t="n">
        <v>477</v>
      </c>
      <c r="B478" s="3" t="s">
        <v>706</v>
      </c>
      <c r="C478" s="3" t="s">
        <v>105</v>
      </c>
      <c r="D478" s="3" t="s">
        <v>61</v>
      </c>
      <c r="E478" s="25" t="s">
        <v>877</v>
      </c>
      <c r="F478" s="3" t="s">
        <v>150</v>
      </c>
      <c r="G478" s="3" t="s">
        <v>63</v>
      </c>
      <c r="K478" s="13" t="n">
        <f aca="false">_xlfn.IFS(F478="","", F478=C478,1, F478&lt;&gt;C478,0)</f>
        <v>0</v>
      </c>
      <c r="L478" s="13" t="n">
        <f aca="false">_xlfn.IFS(G478="","", G478=D478,1, G478&lt;&gt;D478,0)</f>
        <v>0</v>
      </c>
    </row>
    <row r="479" customFormat="false" ht="13.8" hidden="false" customHeight="false" outlineLevel="0" collapsed="false">
      <c r="A479" s="3" t="n">
        <v>478</v>
      </c>
      <c r="B479" s="3" t="s">
        <v>470</v>
      </c>
      <c r="C479" s="3" t="s">
        <v>105</v>
      </c>
      <c r="D479" s="3" t="s">
        <v>61</v>
      </c>
      <c r="E479" s="25" t="s">
        <v>878</v>
      </c>
      <c r="F479" s="3"/>
      <c r="G479" s="3"/>
      <c r="K479" s="13" t="str">
        <f aca="false">_xlfn.IFS(F479="","", F479=C479,1, F479&lt;&gt;C479,0)</f>
        <v/>
      </c>
      <c r="L479" s="13" t="str">
        <f aca="false">_xlfn.IFS(G479="","", G479=D479,1, G479&lt;&gt;D479,0)</f>
        <v/>
      </c>
    </row>
    <row r="480" customFormat="false" ht="13.8" hidden="false" customHeight="false" outlineLevel="0" collapsed="false">
      <c r="A480" s="3" t="n">
        <v>479</v>
      </c>
      <c r="B480" s="3" t="s">
        <v>762</v>
      </c>
      <c r="C480" s="3" t="s">
        <v>143</v>
      </c>
      <c r="D480" s="3" t="s">
        <v>198</v>
      </c>
      <c r="E480" s="25" t="s">
        <v>878</v>
      </c>
      <c r="F480" s="3"/>
      <c r="G480" s="3"/>
      <c r="K480" s="13" t="str">
        <f aca="false">_xlfn.IFS(F480="","", F480=C480,1, F480&lt;&gt;C480,0)</f>
        <v/>
      </c>
      <c r="L480" s="13" t="str">
        <f aca="false">_xlfn.IFS(G480="","", G480=D480,1, G480&lt;&gt;D480,0)</f>
        <v/>
      </c>
    </row>
    <row r="481" customFormat="false" ht="13.8" hidden="false" customHeight="false" outlineLevel="0" collapsed="false">
      <c r="A481" s="3" t="n">
        <v>480</v>
      </c>
      <c r="B481" s="3" t="s">
        <v>504</v>
      </c>
      <c r="C481" s="3" t="s">
        <v>143</v>
      </c>
      <c r="D481" s="3" t="s">
        <v>351</v>
      </c>
      <c r="E481" s="25" t="s">
        <v>877</v>
      </c>
      <c r="F481" s="3" t="s">
        <v>150</v>
      </c>
      <c r="G481" s="3" t="s">
        <v>883</v>
      </c>
      <c r="K481" s="13" t="n">
        <f aca="false">_xlfn.IFS(F481="","", F481=C481,1, F481&lt;&gt;C481,0)</f>
        <v>0</v>
      </c>
      <c r="L481" s="13" t="n">
        <f aca="false">_xlfn.IFS(G481="","", G481=D481,1, G481&lt;&gt;D481,0)</f>
        <v>0</v>
      </c>
    </row>
    <row r="482" customFormat="false" ht="13.8" hidden="false" customHeight="false" outlineLevel="0" collapsed="false">
      <c r="A482" s="3" t="n">
        <v>481</v>
      </c>
      <c r="B482" s="3" t="s">
        <v>558</v>
      </c>
      <c r="C482" s="3" t="s">
        <v>105</v>
      </c>
      <c r="D482" s="3" t="s">
        <v>77</v>
      </c>
      <c r="E482" s="25" t="s">
        <v>874</v>
      </c>
      <c r="F482" s="3" t="s">
        <v>105</v>
      </c>
      <c r="G482" s="3" t="s">
        <v>61</v>
      </c>
      <c r="K482" s="13" t="n">
        <f aca="false">_xlfn.IFS(F482="","", F482=C482,1, F482&lt;&gt;C482,0)</f>
        <v>1</v>
      </c>
      <c r="L482" s="13" t="n">
        <f aca="false">_xlfn.IFS(G482="","", G482=D482,1, G482&lt;&gt;D482,0)</f>
        <v>0</v>
      </c>
    </row>
    <row r="483" customFormat="false" ht="13.8" hidden="false" customHeight="false" outlineLevel="0" collapsed="false">
      <c r="A483" s="3" t="n">
        <v>482</v>
      </c>
      <c r="B483" s="3" t="s">
        <v>300</v>
      </c>
      <c r="C483" s="3" t="s">
        <v>105</v>
      </c>
      <c r="D483" s="3" t="s">
        <v>77</v>
      </c>
      <c r="E483" s="25" t="s">
        <v>877</v>
      </c>
      <c r="F483" s="3" t="s">
        <v>879</v>
      </c>
      <c r="G483" s="3"/>
      <c r="K483" s="13" t="n">
        <f aca="false">_xlfn.IFS(F483="","", F483=C483,1, F483&lt;&gt;C483,0)</f>
        <v>0</v>
      </c>
      <c r="L483" s="13" t="str">
        <f aca="false">_xlfn.IFS(G483="","", G483=D483,1, G483&lt;&gt;D483,0)</f>
        <v/>
      </c>
    </row>
    <row r="484" customFormat="false" ht="13.8" hidden="false" customHeight="false" outlineLevel="0" collapsed="false">
      <c r="A484" s="3" t="n">
        <v>483</v>
      </c>
      <c r="B484" s="3" t="s">
        <v>755</v>
      </c>
      <c r="C484" s="3" t="s">
        <v>150</v>
      </c>
      <c r="D484" s="3" t="s">
        <v>75</v>
      </c>
      <c r="E484" s="25" t="s">
        <v>877</v>
      </c>
      <c r="F484" s="3" t="s">
        <v>150</v>
      </c>
      <c r="G484" s="3" t="s">
        <v>884</v>
      </c>
      <c r="K484" s="13" t="n">
        <f aca="false">_xlfn.IFS(F484="","", F484=C484,1, F484&lt;&gt;C484,0)</f>
        <v>1</v>
      </c>
      <c r="L484" s="13" t="n">
        <f aca="false">_xlfn.IFS(G484="","", G484=D484,1, G484&lt;&gt;D484,0)</f>
        <v>0</v>
      </c>
    </row>
    <row r="485" customFormat="false" ht="13.8" hidden="false" customHeight="false" outlineLevel="0" collapsed="false">
      <c r="A485" s="3" t="n">
        <v>484</v>
      </c>
      <c r="B485" s="3" t="s">
        <v>563</v>
      </c>
      <c r="C485" s="3" t="s">
        <v>105</v>
      </c>
      <c r="D485" s="3" t="s">
        <v>61</v>
      </c>
      <c r="E485" s="25" t="s">
        <v>874</v>
      </c>
      <c r="F485" s="3" t="s">
        <v>105</v>
      </c>
      <c r="G485" s="3" t="s">
        <v>61</v>
      </c>
      <c r="K485" s="13" t="n">
        <f aca="false">_xlfn.IFS(F485="","", F485=C485,1, F485&lt;&gt;C485,0)</f>
        <v>1</v>
      </c>
      <c r="L485" s="13" t="n">
        <f aca="false">_xlfn.IFS(G485="","", G485=D485,1, G485&lt;&gt;D485,0)</f>
        <v>1</v>
      </c>
    </row>
    <row r="486" customFormat="false" ht="13.8" hidden="false" customHeight="false" outlineLevel="0" collapsed="false">
      <c r="A486" s="3" t="n">
        <v>485</v>
      </c>
      <c r="B486" s="3" t="s">
        <v>530</v>
      </c>
      <c r="C486" s="3" t="s">
        <v>105</v>
      </c>
      <c r="D486" s="3" t="s">
        <v>61</v>
      </c>
      <c r="E486" s="25" t="s">
        <v>874</v>
      </c>
      <c r="F486" s="3" t="s">
        <v>105</v>
      </c>
      <c r="G486" s="3" t="s">
        <v>61</v>
      </c>
      <c r="K486" s="13" t="n">
        <f aca="false">_xlfn.IFS(F486="","", F486=C486,1, F486&lt;&gt;C486,0)</f>
        <v>1</v>
      </c>
      <c r="L486" s="13" t="n">
        <f aca="false">_xlfn.IFS(G486="","", G486=D486,1, G486&lt;&gt;D486,0)</f>
        <v>1</v>
      </c>
    </row>
    <row r="487" customFormat="false" ht="13.8" hidden="false" customHeight="false" outlineLevel="0" collapsed="false">
      <c r="A487" s="3" t="n">
        <v>486</v>
      </c>
      <c r="B487" s="3" t="s">
        <v>481</v>
      </c>
      <c r="C487" s="3" t="s">
        <v>143</v>
      </c>
      <c r="D487" s="3" t="s">
        <v>198</v>
      </c>
      <c r="E487" s="25" t="s">
        <v>874</v>
      </c>
      <c r="F487" s="3" t="s">
        <v>105</v>
      </c>
      <c r="G487" s="3" t="s">
        <v>55</v>
      </c>
      <c r="K487" s="13" t="n">
        <f aca="false">_xlfn.IFS(F487="","", F487=C487,1, F487&lt;&gt;C487,0)</f>
        <v>0</v>
      </c>
      <c r="L487" s="13" t="n">
        <f aca="false">_xlfn.IFS(G487="","", G487=D487,1, G487&lt;&gt;D487,0)</f>
        <v>0</v>
      </c>
    </row>
    <row r="488" customFormat="false" ht="13.8" hidden="false" customHeight="false" outlineLevel="0" collapsed="false">
      <c r="A488" s="3" t="n">
        <v>487</v>
      </c>
      <c r="B488" s="3" t="s">
        <v>422</v>
      </c>
      <c r="C488" s="3" t="s">
        <v>105</v>
      </c>
      <c r="D488" s="3" t="s">
        <v>77</v>
      </c>
      <c r="E488" s="25" t="s">
        <v>874</v>
      </c>
      <c r="F488" s="3" t="s">
        <v>105</v>
      </c>
      <c r="G488" s="3" t="s">
        <v>61</v>
      </c>
      <c r="K488" s="13" t="n">
        <f aca="false">_xlfn.IFS(F488="","", F488=C488,1, F488&lt;&gt;C488,0)</f>
        <v>1</v>
      </c>
      <c r="L488" s="13" t="n">
        <f aca="false">_xlfn.IFS(G488="","", G488=D488,1, G488&lt;&gt;D488,0)</f>
        <v>0</v>
      </c>
    </row>
    <row r="489" customFormat="false" ht="13.8" hidden="false" customHeight="false" outlineLevel="0" collapsed="false">
      <c r="A489" s="3" t="n">
        <v>488</v>
      </c>
      <c r="B489" s="3" t="s">
        <v>824</v>
      </c>
      <c r="C489" s="3" t="s">
        <v>105</v>
      </c>
      <c r="D489" s="3" t="s">
        <v>61</v>
      </c>
      <c r="E489" s="25" t="s">
        <v>874</v>
      </c>
      <c r="F489" s="3" t="s">
        <v>105</v>
      </c>
      <c r="G489" s="3" t="s">
        <v>61</v>
      </c>
      <c r="K489" s="13" t="n">
        <f aca="false">_xlfn.IFS(F489="","", F489=C489,1, F489&lt;&gt;C489,0)</f>
        <v>1</v>
      </c>
      <c r="L489" s="13" t="n">
        <f aca="false">_xlfn.IFS(G489="","", G489=D489,1, G489&lt;&gt;D489,0)</f>
        <v>1</v>
      </c>
    </row>
    <row r="490" customFormat="false" ht="13.8" hidden="false" customHeight="false" outlineLevel="0" collapsed="false">
      <c r="A490" s="3" t="n">
        <v>489</v>
      </c>
      <c r="B490" s="3" t="s">
        <v>491</v>
      </c>
      <c r="C490" s="3" t="s">
        <v>105</v>
      </c>
      <c r="D490" s="3" t="s">
        <v>55</v>
      </c>
      <c r="E490" s="25" t="s">
        <v>877</v>
      </c>
      <c r="F490" s="3" t="s">
        <v>879</v>
      </c>
      <c r="G490" s="3"/>
      <c r="K490" s="13" t="n">
        <f aca="false">_xlfn.IFS(F490="","", F490=C490,1, F490&lt;&gt;C490,0)</f>
        <v>0</v>
      </c>
      <c r="L490" s="13" t="str">
        <f aca="false">_xlfn.IFS(G490="","", G490=D490,1, G490&lt;&gt;D490,0)</f>
        <v/>
      </c>
    </row>
    <row r="491" customFormat="false" ht="13.8" hidden="false" customHeight="false" outlineLevel="0" collapsed="false">
      <c r="A491" s="3" t="n">
        <v>490</v>
      </c>
      <c r="B491" s="3" t="s">
        <v>717</v>
      </c>
      <c r="C491" s="3" t="s">
        <v>105</v>
      </c>
      <c r="D491" s="3" t="s">
        <v>77</v>
      </c>
      <c r="E491" s="25" t="s">
        <v>874</v>
      </c>
      <c r="F491" s="3" t="s">
        <v>105</v>
      </c>
      <c r="G491" s="3" t="s">
        <v>61</v>
      </c>
      <c r="K491" s="13" t="n">
        <f aca="false">_xlfn.IFS(F491="","", F491=C491,1, F491&lt;&gt;C491,0)</f>
        <v>1</v>
      </c>
      <c r="L491" s="13" t="n">
        <f aca="false">_xlfn.IFS(G491="","", G491=D491,1, G491&lt;&gt;D491,0)</f>
        <v>0</v>
      </c>
    </row>
    <row r="492" customFormat="false" ht="13.8" hidden="false" customHeight="false" outlineLevel="0" collapsed="false">
      <c r="A492" s="3" t="n">
        <v>491</v>
      </c>
      <c r="B492" s="3" t="s">
        <v>583</v>
      </c>
      <c r="C492" s="3" t="s">
        <v>105</v>
      </c>
      <c r="D492" s="3" t="s">
        <v>61</v>
      </c>
      <c r="E492" s="25" t="s">
        <v>877</v>
      </c>
      <c r="F492" s="3" t="s">
        <v>150</v>
      </c>
      <c r="G492" s="3" t="s">
        <v>883</v>
      </c>
      <c r="K492" s="13" t="n">
        <f aca="false">_xlfn.IFS(F492="","", F492=C492,1, F492&lt;&gt;C492,0)</f>
        <v>0</v>
      </c>
      <c r="L492" s="13" t="n">
        <f aca="false">_xlfn.IFS(G492="","", G492=D492,1, G492&lt;&gt;D492,0)</f>
        <v>0</v>
      </c>
    </row>
    <row r="493" customFormat="false" ht="13.8" hidden="false" customHeight="false" outlineLevel="0" collapsed="false">
      <c r="A493" s="3" t="n">
        <v>492</v>
      </c>
      <c r="B493" s="3" t="s">
        <v>590</v>
      </c>
      <c r="C493" s="3" t="s">
        <v>105</v>
      </c>
      <c r="D493" s="3" t="s">
        <v>61</v>
      </c>
      <c r="E493" s="25" t="s">
        <v>874</v>
      </c>
      <c r="F493" s="3" t="s">
        <v>105</v>
      </c>
      <c r="G493" s="3" t="s">
        <v>61</v>
      </c>
      <c r="K493" s="13" t="n">
        <f aca="false">_xlfn.IFS(F493="","", F493=C493,1, F493&lt;&gt;C493,0)</f>
        <v>1</v>
      </c>
      <c r="L493" s="13" t="n">
        <f aca="false">_xlfn.IFS(G493="","", G493=D493,1, G493&lt;&gt;D493,0)</f>
        <v>1</v>
      </c>
    </row>
    <row r="494" customFormat="false" ht="13.8" hidden="false" customHeight="false" outlineLevel="0" collapsed="false">
      <c r="A494" s="3" t="n">
        <v>493</v>
      </c>
      <c r="B494" s="3" t="s">
        <v>553</v>
      </c>
      <c r="C494" s="3" t="s">
        <v>105</v>
      </c>
      <c r="D494" s="3" t="s">
        <v>61</v>
      </c>
      <c r="E494" s="25" t="s">
        <v>874</v>
      </c>
      <c r="F494" s="3" t="s">
        <v>105</v>
      </c>
      <c r="G494" s="3" t="s">
        <v>61</v>
      </c>
      <c r="K494" s="13" t="n">
        <f aca="false">_xlfn.IFS(F494="","", F494=C494,1, F494&lt;&gt;C494,0)</f>
        <v>1</v>
      </c>
      <c r="L494" s="13" t="n">
        <f aca="false">_xlfn.IFS(G494="","", G494=D494,1, G494&lt;&gt;D494,0)</f>
        <v>1</v>
      </c>
    </row>
    <row r="495" customFormat="false" ht="13.8" hidden="false" customHeight="false" outlineLevel="0" collapsed="false">
      <c r="A495" s="3" t="n">
        <v>494</v>
      </c>
      <c r="B495" s="3" t="s">
        <v>301</v>
      </c>
      <c r="C495" s="3" t="s">
        <v>143</v>
      </c>
      <c r="D495" s="3" t="s">
        <v>256</v>
      </c>
      <c r="E495" s="25" t="s">
        <v>878</v>
      </c>
      <c r="F495" s="3"/>
      <c r="G495" s="3"/>
      <c r="K495" s="13" t="str">
        <f aca="false">_xlfn.IFS(F495="","", F495=C495,1, F495&lt;&gt;C495,0)</f>
        <v/>
      </c>
      <c r="L495" s="13" t="str">
        <f aca="false">_xlfn.IFS(G495="","", G495=D495,1, G495&lt;&gt;D495,0)</f>
        <v/>
      </c>
    </row>
    <row r="496" customFormat="false" ht="13.8" hidden="false" customHeight="false" outlineLevel="0" collapsed="false">
      <c r="A496" s="3" t="n">
        <v>495</v>
      </c>
      <c r="B496" s="3" t="s">
        <v>845</v>
      </c>
      <c r="C496" s="3" t="s">
        <v>105</v>
      </c>
      <c r="D496" s="3" t="s">
        <v>61</v>
      </c>
      <c r="E496" s="25" t="s">
        <v>874</v>
      </c>
      <c r="F496" s="3" t="s">
        <v>105</v>
      </c>
      <c r="G496" s="3" t="s">
        <v>61</v>
      </c>
      <c r="K496" s="13" t="n">
        <f aca="false">_xlfn.IFS(F496="","", F496=C496,1, F496&lt;&gt;C496,0)</f>
        <v>1</v>
      </c>
      <c r="L496" s="13" t="n">
        <f aca="false">_xlfn.IFS(G496="","", G496=D496,1, G496&lt;&gt;D496,0)</f>
        <v>1</v>
      </c>
    </row>
    <row r="497" customFormat="false" ht="13.8" hidden="false" customHeight="false" outlineLevel="0" collapsed="false">
      <c r="A497" s="3" t="n">
        <v>496</v>
      </c>
      <c r="B497" s="3" t="s">
        <v>597</v>
      </c>
      <c r="C497" s="3" t="s">
        <v>105</v>
      </c>
      <c r="D497" s="3" t="s">
        <v>61</v>
      </c>
      <c r="E497" s="25" t="s">
        <v>874</v>
      </c>
      <c r="F497" s="3" t="s">
        <v>105</v>
      </c>
      <c r="G497" s="3" t="s">
        <v>61</v>
      </c>
      <c r="K497" s="13" t="n">
        <f aca="false">_xlfn.IFS(F497="","", F497=C497,1, F497&lt;&gt;C497,0)</f>
        <v>1</v>
      </c>
      <c r="L497" s="13" t="n">
        <f aca="false">_xlfn.IFS(G497="","", G497=D497,1, G497&lt;&gt;D497,0)</f>
        <v>1</v>
      </c>
    </row>
    <row r="498" customFormat="false" ht="13.8" hidden="false" customHeight="false" outlineLevel="0" collapsed="false">
      <c r="A498" s="3" t="n">
        <v>497</v>
      </c>
      <c r="B498" s="3" t="s">
        <v>628</v>
      </c>
      <c r="C498" s="3" t="s">
        <v>143</v>
      </c>
      <c r="D498" s="3" t="s">
        <v>198</v>
      </c>
      <c r="E498" s="25" t="s">
        <v>874</v>
      </c>
      <c r="F498" s="3" t="s">
        <v>105</v>
      </c>
      <c r="G498" s="3" t="s">
        <v>61</v>
      </c>
      <c r="K498" s="13" t="n">
        <f aca="false">_xlfn.IFS(F498="","", F498=C498,1, F498&lt;&gt;C498,0)</f>
        <v>0</v>
      </c>
      <c r="L498" s="13" t="n">
        <f aca="false">_xlfn.IFS(G498="","", G498=D498,1, G498&lt;&gt;D498,0)</f>
        <v>0</v>
      </c>
    </row>
    <row r="499" customFormat="false" ht="13.8" hidden="false" customHeight="false" outlineLevel="0" collapsed="false">
      <c r="A499" s="3" t="n">
        <v>498</v>
      </c>
      <c r="B499" s="3" t="s">
        <v>840</v>
      </c>
      <c r="C499" s="3" t="s">
        <v>143</v>
      </c>
      <c r="D499" s="3" t="s">
        <v>198</v>
      </c>
      <c r="E499" s="25" t="s">
        <v>877</v>
      </c>
      <c r="F499" s="3" t="s">
        <v>150</v>
      </c>
      <c r="G499" s="3" t="s">
        <v>83</v>
      </c>
      <c r="K499" s="13" t="n">
        <f aca="false">_xlfn.IFS(F499="","", F499=C499,1, F499&lt;&gt;C499,0)</f>
        <v>0</v>
      </c>
      <c r="L499" s="13" t="n">
        <f aca="false">_xlfn.IFS(G499="","", G499=D499,1, G499&lt;&gt;D499,0)</f>
        <v>0</v>
      </c>
    </row>
    <row r="500" customFormat="false" ht="13.8" hidden="false" customHeight="false" outlineLevel="0" collapsed="false">
      <c r="A500" s="3" t="n">
        <v>499</v>
      </c>
      <c r="B500" s="3" t="s">
        <v>437</v>
      </c>
      <c r="C500" s="3" t="s">
        <v>105</v>
      </c>
      <c r="D500" s="3" t="s">
        <v>61</v>
      </c>
      <c r="E500" s="25" t="s">
        <v>877</v>
      </c>
      <c r="F500" s="3" t="s">
        <v>150</v>
      </c>
      <c r="G500" s="3" t="s">
        <v>63</v>
      </c>
      <c r="K500" s="13" t="n">
        <f aca="false">_xlfn.IFS(F500="","", F500=C500,1, F500&lt;&gt;C500,0)</f>
        <v>0</v>
      </c>
      <c r="L500" s="13" t="n">
        <f aca="false">_xlfn.IFS(G500="","", G500=D500,1, G500&lt;&gt;D500,0)</f>
        <v>0</v>
      </c>
    </row>
    <row r="501" customFormat="false" ht="13.8" hidden="false" customHeight="false" outlineLevel="0" collapsed="false">
      <c r="A501" s="3" t="n">
        <v>500</v>
      </c>
      <c r="B501" s="3" t="s">
        <v>659</v>
      </c>
      <c r="C501" s="3" t="s">
        <v>105</v>
      </c>
      <c r="D501" s="3" t="s">
        <v>61</v>
      </c>
      <c r="E501" s="25" t="s">
        <v>877</v>
      </c>
      <c r="F501" s="3" t="s">
        <v>150</v>
      </c>
      <c r="G501" s="3" t="s">
        <v>63</v>
      </c>
      <c r="K501" s="13" t="n">
        <f aca="false">_xlfn.IFS(F501="","", F501=C501,1, F501&lt;&gt;C501,0)</f>
        <v>0</v>
      </c>
      <c r="L501" s="13" t="n">
        <f aca="false">_xlfn.IFS(G501="","", G501=D501,1, G501&lt;&gt;D501,0)</f>
        <v>0</v>
      </c>
    </row>
    <row r="502" customFormat="false" ht="13.8" hidden="false" customHeight="false" outlineLevel="0" collapsed="false">
      <c r="A502" s="3" t="n">
        <v>501</v>
      </c>
      <c r="B502" s="3" t="s">
        <v>551</v>
      </c>
      <c r="C502" s="3" t="s">
        <v>105</v>
      </c>
      <c r="D502" s="3" t="s">
        <v>61</v>
      </c>
      <c r="E502" s="25" t="s">
        <v>877</v>
      </c>
      <c r="F502" s="3" t="s">
        <v>150</v>
      </c>
      <c r="G502" s="3" t="s">
        <v>63</v>
      </c>
      <c r="K502" s="13" t="n">
        <f aca="false">_xlfn.IFS(F502="","", F502=C502,1, F502&lt;&gt;C502,0)</f>
        <v>0</v>
      </c>
      <c r="L502" s="13" t="n">
        <f aca="false">_xlfn.IFS(G502="","", G502=D502,1, G502&lt;&gt;D502,0)</f>
        <v>0</v>
      </c>
    </row>
    <row r="503" customFormat="false" ht="13.8" hidden="false" customHeight="false" outlineLevel="0" collapsed="false">
      <c r="A503" s="3" t="n">
        <v>502</v>
      </c>
      <c r="B503" s="3" t="s">
        <v>598</v>
      </c>
      <c r="C503" s="3" t="s">
        <v>105</v>
      </c>
      <c r="D503" s="3" t="s">
        <v>61</v>
      </c>
      <c r="E503" s="25" t="s">
        <v>877</v>
      </c>
      <c r="F503" s="3" t="s">
        <v>150</v>
      </c>
      <c r="G503" s="3" t="s">
        <v>884</v>
      </c>
      <c r="K503" s="13" t="n">
        <f aca="false">_xlfn.IFS(F503="","", F503=C503,1, F503&lt;&gt;C503,0)</f>
        <v>0</v>
      </c>
      <c r="L503" s="13" t="n">
        <f aca="false">_xlfn.IFS(G503="","", G503=D503,1, G503&lt;&gt;D503,0)</f>
        <v>0</v>
      </c>
    </row>
    <row r="504" customFormat="false" ht="13.8" hidden="false" customHeight="false" outlineLevel="0" collapsed="false">
      <c r="A504" s="3" t="n">
        <v>503</v>
      </c>
      <c r="B504" s="3" t="s">
        <v>697</v>
      </c>
      <c r="C504" s="3" t="s">
        <v>143</v>
      </c>
      <c r="D504" s="3" t="s">
        <v>351</v>
      </c>
      <c r="E504" s="25" t="s">
        <v>878</v>
      </c>
      <c r="F504" s="3"/>
      <c r="G504" s="3"/>
      <c r="K504" s="13" t="str">
        <f aca="false">_xlfn.IFS(F504="","", F504=C504,1, F504&lt;&gt;C504,0)</f>
        <v/>
      </c>
      <c r="L504" s="13" t="str">
        <f aca="false">_xlfn.IFS(G504="","", G504=D504,1, G504&lt;&gt;D504,0)</f>
        <v/>
      </c>
    </row>
    <row r="505" customFormat="false" ht="13.8" hidden="false" customHeight="false" outlineLevel="0" collapsed="false">
      <c r="A505" s="3" t="n">
        <v>504</v>
      </c>
      <c r="B505" s="3" t="s">
        <v>425</v>
      </c>
      <c r="C505" s="3" t="s">
        <v>105</v>
      </c>
      <c r="D505" s="3" t="s">
        <v>61</v>
      </c>
      <c r="E505" s="25" t="s">
        <v>877</v>
      </c>
      <c r="F505" s="3" t="s">
        <v>150</v>
      </c>
      <c r="G505" s="3" t="s">
        <v>63</v>
      </c>
      <c r="K505" s="13" t="n">
        <f aca="false">_xlfn.IFS(F505="","", F505=C505,1, F505&lt;&gt;C505,0)</f>
        <v>0</v>
      </c>
      <c r="L505" s="13" t="n">
        <f aca="false">_xlfn.IFS(G505="","", G505=D505,1, G505&lt;&gt;D505,0)</f>
        <v>0</v>
      </c>
    </row>
    <row r="506" customFormat="false" ht="13.8" hidden="false" customHeight="false" outlineLevel="0" collapsed="false">
      <c r="A506" s="3" t="n">
        <v>505</v>
      </c>
      <c r="B506" s="3" t="s">
        <v>539</v>
      </c>
      <c r="C506" s="3" t="s">
        <v>143</v>
      </c>
      <c r="D506" s="3" t="s">
        <v>198</v>
      </c>
      <c r="E506" s="25" t="s">
        <v>877</v>
      </c>
      <c r="F506" s="3" t="s">
        <v>150</v>
      </c>
      <c r="G506" s="3" t="s">
        <v>63</v>
      </c>
      <c r="K506" s="13" t="n">
        <f aca="false">_xlfn.IFS(F506="","", F506=C506,1, F506&lt;&gt;C506,0)</f>
        <v>0</v>
      </c>
      <c r="L506" s="13" t="n">
        <f aca="false">_xlfn.IFS(G506="","", G506=D506,1, G506&lt;&gt;D506,0)</f>
        <v>0</v>
      </c>
    </row>
    <row r="507" customFormat="false" ht="13.8" hidden="false" customHeight="false" outlineLevel="0" collapsed="false">
      <c r="A507" s="3" t="n">
        <v>506</v>
      </c>
      <c r="B507" s="3" t="s">
        <v>321</v>
      </c>
      <c r="C507" s="3" t="s">
        <v>105</v>
      </c>
      <c r="D507" s="3" t="s">
        <v>77</v>
      </c>
      <c r="E507" s="25" t="s">
        <v>874</v>
      </c>
      <c r="F507" s="3" t="s">
        <v>105</v>
      </c>
      <c r="G507" s="3" t="s">
        <v>61</v>
      </c>
      <c r="K507" s="13" t="n">
        <f aca="false">_xlfn.IFS(F507="","", F507=C507,1, F507&lt;&gt;C507,0)</f>
        <v>1</v>
      </c>
      <c r="L507" s="13" t="n">
        <f aca="false">_xlfn.IFS(G507="","", G507=D507,1, G507&lt;&gt;D507,0)</f>
        <v>0</v>
      </c>
    </row>
    <row r="508" customFormat="false" ht="13.8" hidden="false" customHeight="false" outlineLevel="0" collapsed="false">
      <c r="A508" s="3" t="n">
        <v>507</v>
      </c>
      <c r="B508" s="3" t="s">
        <v>803</v>
      </c>
      <c r="C508" s="3" t="s">
        <v>105</v>
      </c>
      <c r="D508" s="3" t="s">
        <v>61</v>
      </c>
      <c r="E508" s="25" t="s">
        <v>878</v>
      </c>
      <c r="F508" s="3"/>
      <c r="G508" s="3"/>
      <c r="K508" s="13" t="str">
        <f aca="false">_xlfn.IFS(F508="","", F508=C508,1, F508&lt;&gt;C508,0)</f>
        <v/>
      </c>
      <c r="L508" s="13" t="str">
        <f aca="false">_xlfn.IFS(G508="","", G508=D508,1, G508&lt;&gt;D508,0)</f>
        <v/>
      </c>
    </row>
    <row r="509" customFormat="false" ht="13.8" hidden="false" customHeight="false" outlineLevel="0" collapsed="false">
      <c r="A509" s="3" t="n">
        <v>508</v>
      </c>
      <c r="B509" s="3" t="s">
        <v>578</v>
      </c>
      <c r="C509" s="3" t="s">
        <v>105</v>
      </c>
      <c r="D509" s="3" t="s">
        <v>61</v>
      </c>
      <c r="E509" s="25" t="s">
        <v>877</v>
      </c>
      <c r="F509" s="3" t="s">
        <v>150</v>
      </c>
      <c r="G509" s="3" t="s">
        <v>63</v>
      </c>
      <c r="K509" s="13" t="n">
        <f aca="false">_xlfn.IFS(F509="","", F509=C509,1, F509&lt;&gt;C509,0)</f>
        <v>0</v>
      </c>
      <c r="L509" s="13" t="n">
        <f aca="false">_xlfn.IFS(G509="","", G509=D509,1, G509&lt;&gt;D509,0)</f>
        <v>0</v>
      </c>
    </row>
    <row r="510" customFormat="false" ht="13.8" hidden="false" customHeight="false" outlineLevel="0" collapsed="false">
      <c r="A510" s="3" t="n">
        <v>509</v>
      </c>
      <c r="B510" s="3" t="s">
        <v>510</v>
      </c>
      <c r="C510" s="3" t="s">
        <v>105</v>
      </c>
      <c r="D510" s="3" t="s">
        <v>61</v>
      </c>
      <c r="E510" s="25" t="s">
        <v>877</v>
      </c>
      <c r="F510" s="3" t="s">
        <v>150</v>
      </c>
      <c r="G510" s="3" t="s">
        <v>63</v>
      </c>
      <c r="K510" s="13" t="n">
        <f aca="false">_xlfn.IFS(F510="","", F510=C510,1, F510&lt;&gt;C510,0)</f>
        <v>0</v>
      </c>
      <c r="L510" s="13" t="n">
        <f aca="false">_xlfn.IFS(G510="","", G510=D510,1, G510&lt;&gt;D510,0)</f>
        <v>0</v>
      </c>
    </row>
    <row r="511" customFormat="false" ht="13.8" hidden="false" customHeight="false" outlineLevel="0" collapsed="false">
      <c r="A511" s="3" t="n">
        <v>510</v>
      </c>
      <c r="B511" s="3" t="s">
        <v>855</v>
      </c>
      <c r="C511" s="3" t="s">
        <v>105</v>
      </c>
      <c r="D511" s="3" t="s">
        <v>61</v>
      </c>
      <c r="E511" s="25" t="s">
        <v>878</v>
      </c>
      <c r="F511" s="3"/>
      <c r="G511" s="3"/>
      <c r="K511" s="13" t="str">
        <f aca="false">_xlfn.IFS(F511="","", F511=C511,1, F511&lt;&gt;C511,0)</f>
        <v/>
      </c>
      <c r="L511" s="13" t="str">
        <f aca="false">_xlfn.IFS(G511="","", G511=D511,1, G511&lt;&gt;D511,0)</f>
        <v/>
      </c>
    </row>
    <row r="512" customFormat="false" ht="13.8" hidden="false" customHeight="false" outlineLevel="0" collapsed="false">
      <c r="A512" s="3" t="n">
        <v>511</v>
      </c>
      <c r="B512" s="3" t="s">
        <v>842</v>
      </c>
      <c r="C512" s="3" t="s">
        <v>105</v>
      </c>
      <c r="D512" s="3" t="s">
        <v>77</v>
      </c>
      <c r="E512" s="25" t="s">
        <v>878</v>
      </c>
      <c r="F512" s="3"/>
      <c r="G512" s="3"/>
      <c r="K512" s="13" t="str">
        <f aca="false">_xlfn.IFS(F512="","", F512=C512,1, F512&lt;&gt;C512,0)</f>
        <v/>
      </c>
      <c r="L512" s="13" t="str">
        <f aca="false">_xlfn.IFS(G512="","", G512=D512,1, G512&lt;&gt;D512,0)</f>
        <v/>
      </c>
    </row>
    <row r="513" customFormat="false" ht="13.8" hidden="false" customHeight="false" outlineLevel="0" collapsed="false">
      <c r="A513" s="3" t="n">
        <v>512</v>
      </c>
      <c r="B513" s="3" t="s">
        <v>869</v>
      </c>
      <c r="C513" s="3" t="s">
        <v>143</v>
      </c>
      <c r="D513" s="3" t="s">
        <v>198</v>
      </c>
      <c r="E513" s="25" t="s">
        <v>877</v>
      </c>
      <c r="F513" s="3" t="s">
        <v>879</v>
      </c>
      <c r="G513" s="3"/>
      <c r="K513" s="13" t="n">
        <f aca="false">_xlfn.IFS(F513="","", F513=C513,1, F513&lt;&gt;C513,0)</f>
        <v>0</v>
      </c>
      <c r="L513" s="13" t="str">
        <f aca="false">_xlfn.IFS(G513="","", G513=D513,1, G513&lt;&gt;D513,0)</f>
        <v/>
      </c>
    </row>
    <row r="514" customFormat="false" ht="13.8" hidden="false" customHeight="false" outlineLevel="0" collapsed="false">
      <c r="A514" s="3" t="n">
        <v>513</v>
      </c>
      <c r="B514" s="3" t="s">
        <v>821</v>
      </c>
      <c r="C514" s="3" t="s">
        <v>105</v>
      </c>
      <c r="D514" s="3" t="s">
        <v>61</v>
      </c>
      <c r="E514" s="25" t="s">
        <v>874</v>
      </c>
      <c r="F514" s="3" t="s">
        <v>105</v>
      </c>
      <c r="G514" s="3" t="s">
        <v>61</v>
      </c>
      <c r="K514" s="13" t="n">
        <f aca="false">_xlfn.IFS(F514="","", F514=C514,1, F514&lt;&gt;C514,0)</f>
        <v>1</v>
      </c>
      <c r="L514" s="13" t="n">
        <f aca="false">_xlfn.IFS(G514="","", G514=D514,1, G514&lt;&gt;D514,0)</f>
        <v>1</v>
      </c>
    </row>
    <row r="515" customFormat="false" ht="13.8" hidden="false" customHeight="false" outlineLevel="0" collapsed="false">
      <c r="A515" s="3" t="n">
        <v>514</v>
      </c>
      <c r="B515" s="3" t="s">
        <v>650</v>
      </c>
      <c r="C515" s="3" t="s">
        <v>143</v>
      </c>
      <c r="D515" s="3" t="s">
        <v>198</v>
      </c>
      <c r="E515" s="25" t="s">
        <v>877</v>
      </c>
      <c r="F515" s="3" t="s">
        <v>150</v>
      </c>
      <c r="G515" s="3" t="s">
        <v>63</v>
      </c>
      <c r="K515" s="13" t="n">
        <f aca="false">_xlfn.IFS(F515="","", F515=C515,1, F515&lt;&gt;C515,0)</f>
        <v>0</v>
      </c>
      <c r="L515" s="13" t="n">
        <f aca="false">_xlfn.IFS(G515="","", G515=D515,1, G515&lt;&gt;D515,0)</f>
        <v>0</v>
      </c>
    </row>
    <row r="516" customFormat="false" ht="13.8" hidden="false" customHeight="false" outlineLevel="0" collapsed="false">
      <c r="A516" s="3" t="n">
        <v>515</v>
      </c>
      <c r="B516" s="3" t="s">
        <v>358</v>
      </c>
      <c r="C516" s="3" t="s">
        <v>150</v>
      </c>
      <c r="D516" s="3" t="s">
        <v>254</v>
      </c>
      <c r="E516" s="25" t="s">
        <v>877</v>
      </c>
      <c r="F516" s="3" t="s">
        <v>150</v>
      </c>
      <c r="G516" s="3" t="s">
        <v>63</v>
      </c>
      <c r="K516" s="13" t="n">
        <f aca="false">_xlfn.IFS(F516="","", F516=C516,1, F516&lt;&gt;C516,0)</f>
        <v>1</v>
      </c>
      <c r="L516" s="13" t="n">
        <f aca="false">_xlfn.IFS(G516="","", G516=D516,1, G516&lt;&gt;D516,0)</f>
        <v>0</v>
      </c>
    </row>
    <row r="517" customFormat="false" ht="13.8" hidden="false" customHeight="false" outlineLevel="0" collapsed="false">
      <c r="A517" s="3" t="n">
        <v>516</v>
      </c>
      <c r="B517" s="3" t="s">
        <v>432</v>
      </c>
      <c r="C517" s="3" t="s">
        <v>105</v>
      </c>
      <c r="D517" s="3" t="s">
        <v>55</v>
      </c>
      <c r="E517" s="25" t="s">
        <v>874</v>
      </c>
      <c r="F517" s="3" t="s">
        <v>105</v>
      </c>
      <c r="G517" s="3" t="s">
        <v>61</v>
      </c>
      <c r="K517" s="13" t="n">
        <f aca="false">_xlfn.IFS(F517="","", F517=C517,1, F517&lt;&gt;C517,0)</f>
        <v>1</v>
      </c>
      <c r="L517" s="13" t="n">
        <f aca="false">_xlfn.IFS(G517="","", G517=D517,1, G517&lt;&gt;D517,0)</f>
        <v>0</v>
      </c>
    </row>
    <row r="518" customFormat="false" ht="13.8" hidden="false" customHeight="false" outlineLevel="0" collapsed="false">
      <c r="A518" s="3" t="n">
        <v>517</v>
      </c>
      <c r="B518" s="3" t="s">
        <v>698</v>
      </c>
      <c r="C518" s="3" t="s">
        <v>105</v>
      </c>
      <c r="D518" s="3" t="s">
        <v>61</v>
      </c>
      <c r="E518" s="25" t="s">
        <v>874</v>
      </c>
      <c r="F518" s="3" t="s">
        <v>105</v>
      </c>
      <c r="G518" s="3" t="s">
        <v>61</v>
      </c>
      <c r="K518" s="13" t="n">
        <f aca="false">_xlfn.IFS(F518="","", F518=C518,1, F518&lt;&gt;C518,0)</f>
        <v>1</v>
      </c>
      <c r="L518" s="13" t="n">
        <f aca="false">_xlfn.IFS(G518="","", G518=D518,1, G518&lt;&gt;D518,0)</f>
        <v>1</v>
      </c>
    </row>
    <row r="519" customFormat="false" ht="13.8" hidden="false" customHeight="false" outlineLevel="0" collapsed="false">
      <c r="A519" s="3" t="n">
        <v>518</v>
      </c>
      <c r="B519" s="3" t="s">
        <v>656</v>
      </c>
      <c r="C519" s="3" t="s">
        <v>105</v>
      </c>
      <c r="D519" s="3" t="s">
        <v>61</v>
      </c>
      <c r="E519" s="25" t="s">
        <v>874</v>
      </c>
      <c r="F519" s="3" t="s">
        <v>105</v>
      </c>
      <c r="G519" s="3" t="s">
        <v>61</v>
      </c>
      <c r="K519" s="13" t="n">
        <f aca="false">_xlfn.IFS(F519="","", F519=C519,1, F519&lt;&gt;C519,0)</f>
        <v>1</v>
      </c>
      <c r="L519" s="13" t="n">
        <f aca="false">_xlfn.IFS(G519="","", G519=D519,1, G519&lt;&gt;D519,0)</f>
        <v>1</v>
      </c>
    </row>
    <row r="520" customFormat="false" ht="13.8" hidden="false" customHeight="false" outlineLevel="0" collapsed="false">
      <c r="A520" s="3" t="n">
        <v>519</v>
      </c>
      <c r="B520" s="3" t="s">
        <v>359</v>
      </c>
      <c r="C520" s="3" t="s">
        <v>105</v>
      </c>
      <c r="D520" s="3" t="s">
        <v>61</v>
      </c>
      <c r="E520" s="25" t="s">
        <v>874</v>
      </c>
      <c r="F520" s="3" t="s">
        <v>105</v>
      </c>
      <c r="G520" s="3" t="s">
        <v>61</v>
      </c>
      <c r="K520" s="13" t="n">
        <f aca="false">_xlfn.IFS(F520="","", F520=C520,1, F520&lt;&gt;C520,0)</f>
        <v>1</v>
      </c>
      <c r="L520" s="13" t="n">
        <f aca="false">_xlfn.IFS(G520="","", G520=D520,1, G520&lt;&gt;D520,0)</f>
        <v>1</v>
      </c>
    </row>
    <row r="521" customFormat="false" ht="13.8" hidden="false" customHeight="false" outlineLevel="0" collapsed="false">
      <c r="A521" s="3" t="n">
        <v>520</v>
      </c>
      <c r="B521" s="3" t="s">
        <v>496</v>
      </c>
      <c r="C521" s="3" t="s">
        <v>105</v>
      </c>
      <c r="D521" s="3" t="s">
        <v>55</v>
      </c>
      <c r="E521" s="25" t="s">
        <v>874</v>
      </c>
      <c r="F521" s="3" t="s">
        <v>105</v>
      </c>
      <c r="G521" s="3" t="s">
        <v>55</v>
      </c>
      <c r="K521" s="13" t="n">
        <f aca="false">_xlfn.IFS(F521="","", F521=C521,1, F521&lt;&gt;C521,0)</f>
        <v>1</v>
      </c>
      <c r="L521" s="13" t="n">
        <f aca="false">_xlfn.IFS(G521="","", G521=D521,1, G521&lt;&gt;D521,0)</f>
        <v>1</v>
      </c>
    </row>
    <row r="522" customFormat="false" ht="13.8" hidden="false" customHeight="false" outlineLevel="0" collapsed="false">
      <c r="A522" s="3" t="n">
        <v>521</v>
      </c>
      <c r="B522" s="3" t="s">
        <v>831</v>
      </c>
      <c r="C522" s="3" t="s">
        <v>105</v>
      </c>
      <c r="D522" s="3" t="s">
        <v>61</v>
      </c>
      <c r="E522" s="25" t="s">
        <v>877</v>
      </c>
      <c r="F522" s="3" t="s">
        <v>150</v>
      </c>
      <c r="G522" s="3" t="s">
        <v>63</v>
      </c>
      <c r="K522" s="13" t="n">
        <f aca="false">_xlfn.IFS(F522="","", F522=C522,1, F522&lt;&gt;C522,0)</f>
        <v>0</v>
      </c>
      <c r="L522" s="13" t="n">
        <f aca="false">_xlfn.IFS(G522="","", G522=D522,1, G522&lt;&gt;D522,0)</f>
        <v>0</v>
      </c>
    </row>
    <row r="523" customFormat="false" ht="13.8" hidden="false" customHeight="false" outlineLevel="0" collapsed="false">
      <c r="A523" s="3" t="n">
        <v>522</v>
      </c>
      <c r="B523" s="3" t="s">
        <v>722</v>
      </c>
      <c r="C523" s="3" t="s">
        <v>105</v>
      </c>
      <c r="D523" s="3" t="s">
        <v>61</v>
      </c>
      <c r="E523" s="25" t="s">
        <v>874</v>
      </c>
      <c r="F523" s="3" t="s">
        <v>105</v>
      </c>
      <c r="G523" s="3" t="s">
        <v>61</v>
      </c>
      <c r="K523" s="13" t="n">
        <f aca="false">_xlfn.IFS(F523="","", F523=C523,1, F523&lt;&gt;C523,0)</f>
        <v>1</v>
      </c>
      <c r="L523" s="13" t="n">
        <f aca="false">_xlfn.IFS(G523="","", G523=D523,1, G523&lt;&gt;D523,0)</f>
        <v>1</v>
      </c>
    </row>
    <row r="524" customFormat="false" ht="13.8" hidden="false" customHeight="false" outlineLevel="0" collapsed="false">
      <c r="A524" s="3" t="n">
        <v>523</v>
      </c>
      <c r="B524" s="3" t="s">
        <v>751</v>
      </c>
      <c r="C524" s="3" t="s">
        <v>105</v>
      </c>
      <c r="D524" s="3" t="s">
        <v>61</v>
      </c>
      <c r="E524" s="25" t="s">
        <v>877</v>
      </c>
      <c r="F524" s="3" t="s">
        <v>150</v>
      </c>
      <c r="G524" s="3" t="s">
        <v>63</v>
      </c>
      <c r="K524" s="13" t="n">
        <f aca="false">_xlfn.IFS(F524="","", F524=C524,1, F524&lt;&gt;C524,0)</f>
        <v>0</v>
      </c>
      <c r="L524" s="13" t="n">
        <f aca="false">_xlfn.IFS(G524="","", G524=D524,1, G524&lt;&gt;D524,0)</f>
        <v>0</v>
      </c>
    </row>
    <row r="525" customFormat="false" ht="13.8" hidden="false" customHeight="false" outlineLevel="0" collapsed="false">
      <c r="A525" s="3" t="n">
        <v>524</v>
      </c>
      <c r="B525" s="3" t="s">
        <v>686</v>
      </c>
      <c r="C525" s="3" t="s">
        <v>105</v>
      </c>
      <c r="D525" s="3" t="s">
        <v>61</v>
      </c>
      <c r="E525" s="25" t="s">
        <v>874</v>
      </c>
      <c r="F525" s="3" t="s">
        <v>105</v>
      </c>
      <c r="G525" s="3" t="s">
        <v>61</v>
      </c>
      <c r="K525" s="13" t="n">
        <f aca="false">_xlfn.IFS(F525="","", F525=C525,1, F525&lt;&gt;C525,0)</f>
        <v>1</v>
      </c>
      <c r="L525" s="13" t="n">
        <f aca="false">_xlfn.IFS(G525="","", G525=D525,1, G525&lt;&gt;D525,0)</f>
        <v>1</v>
      </c>
    </row>
    <row r="526" customFormat="false" ht="13.8" hidden="false" customHeight="false" outlineLevel="0" collapsed="false">
      <c r="A526" s="3" t="n">
        <v>525</v>
      </c>
      <c r="B526" s="3" t="s">
        <v>379</v>
      </c>
      <c r="C526" s="3" t="s">
        <v>150</v>
      </c>
      <c r="D526" s="3" t="s">
        <v>254</v>
      </c>
      <c r="E526" s="25" t="s">
        <v>874</v>
      </c>
      <c r="F526" s="3" t="s">
        <v>105</v>
      </c>
      <c r="G526" s="3" t="s">
        <v>61</v>
      </c>
      <c r="K526" s="13" t="n">
        <f aca="false">_xlfn.IFS(F526="","", F526=C526,1, F526&lt;&gt;C526,0)</f>
        <v>0</v>
      </c>
      <c r="L526" s="13" t="n">
        <f aca="false">_xlfn.IFS(G526="","", G526=D526,1, G526&lt;&gt;D526,0)</f>
        <v>0</v>
      </c>
    </row>
    <row r="527" customFormat="false" ht="13.8" hidden="false" customHeight="false" outlineLevel="0" collapsed="false">
      <c r="A527" s="3" t="n">
        <v>526</v>
      </c>
      <c r="B527" s="3" t="s">
        <v>796</v>
      </c>
      <c r="C527" s="3" t="s">
        <v>105</v>
      </c>
      <c r="D527" s="3" t="s">
        <v>61</v>
      </c>
      <c r="E527" s="25" t="s">
        <v>878</v>
      </c>
      <c r="F527" s="3"/>
      <c r="G527" s="3"/>
      <c r="K527" s="13" t="str">
        <f aca="false">_xlfn.IFS(F527="","", F527=C527,1, F527&lt;&gt;C527,0)</f>
        <v/>
      </c>
      <c r="L527" s="13" t="str">
        <f aca="false">_xlfn.IFS(G527="","", G527=D527,1, G527&lt;&gt;D527,0)</f>
        <v/>
      </c>
    </row>
    <row r="528" customFormat="false" ht="13.8" hidden="false" customHeight="false" outlineLevel="0" collapsed="false">
      <c r="A528" s="3" t="n">
        <v>527</v>
      </c>
      <c r="B528" s="3" t="s">
        <v>662</v>
      </c>
      <c r="C528" s="3" t="s">
        <v>143</v>
      </c>
      <c r="D528" s="3" t="s">
        <v>198</v>
      </c>
      <c r="E528" s="25" t="s">
        <v>874</v>
      </c>
      <c r="F528" s="3" t="s">
        <v>105</v>
      </c>
      <c r="G528" s="3" t="s">
        <v>61</v>
      </c>
      <c r="K528" s="13" t="n">
        <f aca="false">_xlfn.IFS(F528="","", F528=C528,1, F528&lt;&gt;C528,0)</f>
        <v>0</v>
      </c>
      <c r="L528" s="13" t="n">
        <f aca="false">_xlfn.IFS(G528="","", G528=D528,1, G528&lt;&gt;D528,0)</f>
        <v>0</v>
      </c>
    </row>
    <row r="529" customFormat="false" ht="13.8" hidden="false" customHeight="false" outlineLevel="0" collapsed="false">
      <c r="A529" s="3" t="n">
        <v>528</v>
      </c>
      <c r="B529" s="3" t="s">
        <v>710</v>
      </c>
      <c r="C529" s="3" t="s">
        <v>105</v>
      </c>
      <c r="D529" s="3" t="s">
        <v>61</v>
      </c>
      <c r="E529" s="25" t="s">
        <v>874</v>
      </c>
      <c r="F529" s="3" t="s">
        <v>105</v>
      </c>
      <c r="G529" s="3" t="s">
        <v>55</v>
      </c>
      <c r="K529" s="13" t="n">
        <f aca="false">_xlfn.IFS(F529="","", F529=C529,1, F529&lt;&gt;C529,0)</f>
        <v>1</v>
      </c>
      <c r="L529" s="13" t="n">
        <f aca="false">_xlfn.IFS(G529="","", G529=D529,1, G529&lt;&gt;D529,0)</f>
        <v>0</v>
      </c>
    </row>
    <row r="530" customFormat="false" ht="13.8" hidden="false" customHeight="false" outlineLevel="0" collapsed="false">
      <c r="A530" s="3" t="n">
        <v>529</v>
      </c>
      <c r="B530" s="3" t="s">
        <v>392</v>
      </c>
      <c r="C530" s="3" t="s">
        <v>105</v>
      </c>
      <c r="D530" s="3" t="s">
        <v>77</v>
      </c>
      <c r="E530" s="25" t="s">
        <v>874</v>
      </c>
      <c r="F530" s="3" t="s">
        <v>105</v>
      </c>
      <c r="G530" s="3" t="s">
        <v>61</v>
      </c>
      <c r="K530" s="13" t="n">
        <f aca="false">_xlfn.IFS(F530="","", F530=C530,1, F530&lt;&gt;C530,0)</f>
        <v>1</v>
      </c>
      <c r="L530" s="13" t="n">
        <f aca="false">_xlfn.IFS(G530="","", G530=D530,1, G530&lt;&gt;D530,0)</f>
        <v>0</v>
      </c>
    </row>
    <row r="531" customFormat="false" ht="13.8" hidden="false" customHeight="false" outlineLevel="0" collapsed="false">
      <c r="A531" s="3" t="n">
        <v>530</v>
      </c>
      <c r="B531" s="3" t="s">
        <v>779</v>
      </c>
      <c r="C531" s="3" t="s">
        <v>105</v>
      </c>
      <c r="D531" s="3" t="s">
        <v>61</v>
      </c>
      <c r="E531" s="25" t="s">
        <v>877</v>
      </c>
      <c r="F531" s="3" t="s">
        <v>150</v>
      </c>
      <c r="G531" s="3" t="s">
        <v>63</v>
      </c>
      <c r="K531" s="13" t="n">
        <f aca="false">_xlfn.IFS(F531="","", F531=C531,1, F531&lt;&gt;C531,0)</f>
        <v>0</v>
      </c>
      <c r="L531" s="13" t="n">
        <f aca="false">_xlfn.IFS(G531="","", G531=D531,1, G531&lt;&gt;D531,0)</f>
        <v>0</v>
      </c>
    </row>
    <row r="532" customFormat="false" ht="13.8" hidden="false" customHeight="false" outlineLevel="0" collapsed="false">
      <c r="A532" s="3" t="n">
        <v>531</v>
      </c>
      <c r="B532" s="3" t="s">
        <v>302</v>
      </c>
      <c r="C532" s="3" t="s">
        <v>105</v>
      </c>
      <c r="D532" s="3" t="s">
        <v>55</v>
      </c>
      <c r="E532" s="25" t="s">
        <v>877</v>
      </c>
      <c r="F532" s="3" t="s">
        <v>879</v>
      </c>
      <c r="G532" s="3"/>
      <c r="K532" s="13" t="n">
        <f aca="false">_xlfn.IFS(F532="","", F532=C532,1, F532&lt;&gt;C532,0)</f>
        <v>0</v>
      </c>
      <c r="L532" s="13" t="str">
        <f aca="false">_xlfn.IFS(G532="","", G532=D532,1, G532&lt;&gt;D532,0)</f>
        <v/>
      </c>
    </row>
    <row r="533" customFormat="false" ht="13.8" hidden="false" customHeight="false" outlineLevel="0" collapsed="false">
      <c r="A533" s="3" t="n">
        <v>532</v>
      </c>
      <c r="B533" s="3" t="s">
        <v>518</v>
      </c>
      <c r="C533" s="3" t="s">
        <v>143</v>
      </c>
      <c r="D533" s="3" t="s">
        <v>198</v>
      </c>
      <c r="E533" s="25" t="s">
        <v>877</v>
      </c>
      <c r="F533" s="3" t="s">
        <v>879</v>
      </c>
      <c r="G533" s="3"/>
      <c r="K533" s="13" t="n">
        <f aca="false">_xlfn.IFS(F533="","", F533=C533,1, F533&lt;&gt;C533,0)</f>
        <v>0</v>
      </c>
      <c r="L533" s="13" t="str">
        <f aca="false">_xlfn.IFS(G533="","", G533=D533,1, G533&lt;&gt;D533,0)</f>
        <v/>
      </c>
    </row>
    <row r="534" customFormat="false" ht="13.8" hidden="false" customHeight="false" outlineLevel="0" collapsed="false">
      <c r="A534" s="3" t="n">
        <v>533</v>
      </c>
      <c r="B534" s="3" t="s">
        <v>814</v>
      </c>
      <c r="C534" s="3" t="s">
        <v>105</v>
      </c>
      <c r="D534" s="3" t="s">
        <v>61</v>
      </c>
      <c r="E534" s="25" t="s">
        <v>877</v>
      </c>
      <c r="F534" s="3" t="s">
        <v>150</v>
      </c>
      <c r="G534" s="3" t="s">
        <v>63</v>
      </c>
      <c r="K534" s="13" t="n">
        <f aca="false">_xlfn.IFS(F534="","", F534=C534,1, F534&lt;&gt;C534,0)</f>
        <v>0</v>
      </c>
      <c r="L534" s="13" t="n">
        <f aca="false">_xlfn.IFS(G534="","", G534=D534,1, G534&lt;&gt;D534,0)</f>
        <v>0</v>
      </c>
    </row>
    <row r="535" customFormat="false" ht="13.8" hidden="false" customHeight="false" outlineLevel="0" collapsed="false">
      <c r="A535" s="3" t="n">
        <v>534</v>
      </c>
      <c r="B535" s="3" t="s">
        <v>629</v>
      </c>
      <c r="C535" s="3" t="s">
        <v>150</v>
      </c>
      <c r="D535" s="3" t="s">
        <v>83</v>
      </c>
      <c r="E535" s="25" t="s">
        <v>877</v>
      </c>
      <c r="F535" s="3" t="s">
        <v>150</v>
      </c>
      <c r="G535" s="3" t="s">
        <v>63</v>
      </c>
      <c r="K535" s="13" t="n">
        <f aca="false">_xlfn.IFS(F535="","", F535=C535,1, F535&lt;&gt;C535,0)</f>
        <v>1</v>
      </c>
      <c r="L535" s="13" t="n">
        <f aca="false">_xlfn.IFS(G535="","", G535=D535,1, G535&lt;&gt;D535,0)</f>
        <v>0</v>
      </c>
    </row>
    <row r="536" customFormat="false" ht="13.8" hidden="false" customHeight="false" outlineLevel="0" collapsed="false">
      <c r="A536" s="3" t="n">
        <v>535</v>
      </c>
      <c r="B536" s="3" t="s">
        <v>652</v>
      </c>
      <c r="C536" s="3" t="s">
        <v>143</v>
      </c>
      <c r="D536" s="3" t="s">
        <v>198</v>
      </c>
      <c r="E536" s="25" t="s">
        <v>878</v>
      </c>
      <c r="F536" s="3"/>
      <c r="G536" s="3"/>
      <c r="K536" s="13" t="str">
        <f aca="false">_xlfn.IFS(F536="","", F536=C536,1, F536&lt;&gt;C536,0)</f>
        <v/>
      </c>
      <c r="L536" s="13" t="str">
        <f aca="false">_xlfn.IFS(G536="","", G536=D536,1, G536&lt;&gt;D536,0)</f>
        <v/>
      </c>
    </row>
    <row r="537" customFormat="false" ht="13.8" hidden="false" customHeight="false" outlineLevel="0" collapsed="false">
      <c r="A537" s="3" t="n">
        <v>536</v>
      </c>
      <c r="B537" s="3" t="s">
        <v>685</v>
      </c>
      <c r="C537" s="3" t="s">
        <v>105</v>
      </c>
      <c r="D537" s="3" t="s">
        <v>61</v>
      </c>
      <c r="E537" s="25" t="s">
        <v>877</v>
      </c>
      <c r="F537" s="3" t="s">
        <v>879</v>
      </c>
      <c r="G537" s="3"/>
      <c r="K537" s="13" t="n">
        <f aca="false">_xlfn.IFS(F537="","", F537=C537,1, F537&lt;&gt;C537,0)</f>
        <v>0</v>
      </c>
      <c r="L537" s="13" t="str">
        <f aca="false">_xlfn.IFS(G537="","", G537=D537,1, G537&lt;&gt;D537,0)</f>
        <v/>
      </c>
    </row>
    <row r="538" customFormat="false" ht="13.8" hidden="false" customHeight="false" outlineLevel="0" collapsed="false">
      <c r="A538" s="3" t="n">
        <v>537</v>
      </c>
      <c r="B538" s="3" t="s">
        <v>513</v>
      </c>
      <c r="C538" s="3" t="s">
        <v>105</v>
      </c>
      <c r="D538" s="3" t="s">
        <v>77</v>
      </c>
      <c r="E538" s="25" t="s">
        <v>877</v>
      </c>
      <c r="F538" s="3" t="s">
        <v>150</v>
      </c>
      <c r="G538" s="3" t="s">
        <v>883</v>
      </c>
      <c r="K538" s="13" t="n">
        <f aca="false">_xlfn.IFS(F538="","", F538=C538,1, F538&lt;&gt;C538,0)</f>
        <v>0</v>
      </c>
      <c r="L538" s="13" t="n">
        <f aca="false">_xlfn.IFS(G538="","", G538=D538,1, G538&lt;&gt;D538,0)</f>
        <v>0</v>
      </c>
    </row>
    <row r="539" customFormat="false" ht="13.8" hidden="false" customHeight="false" outlineLevel="0" collapsed="false">
      <c r="A539" s="3" t="n">
        <v>538</v>
      </c>
      <c r="B539" s="3" t="s">
        <v>570</v>
      </c>
      <c r="C539" s="3" t="s">
        <v>105</v>
      </c>
      <c r="D539" s="3" t="s">
        <v>61</v>
      </c>
      <c r="E539" s="25" t="s">
        <v>874</v>
      </c>
      <c r="F539" s="3" t="s">
        <v>105</v>
      </c>
      <c r="G539" s="3" t="s">
        <v>61</v>
      </c>
      <c r="K539" s="13" t="n">
        <f aca="false">_xlfn.IFS(F539="","", F539=C539,1, F539&lt;&gt;C539,0)</f>
        <v>1</v>
      </c>
      <c r="L539" s="13" t="n">
        <f aca="false">_xlfn.IFS(G539="","", G539=D539,1, G539&lt;&gt;D539,0)</f>
        <v>1</v>
      </c>
    </row>
    <row r="540" customFormat="false" ht="13.8" hidden="false" customHeight="false" outlineLevel="0" collapsed="false">
      <c r="A540" s="3" t="n">
        <v>539</v>
      </c>
      <c r="B540" s="3" t="s">
        <v>771</v>
      </c>
      <c r="C540" s="3" t="s">
        <v>105</v>
      </c>
      <c r="D540" s="3" t="s">
        <v>61</v>
      </c>
      <c r="E540" s="25" t="s">
        <v>878</v>
      </c>
      <c r="F540" s="3"/>
      <c r="G540" s="3"/>
      <c r="K540" s="13" t="str">
        <f aca="false">_xlfn.IFS(F540="","", F540=C540,1, F540&lt;&gt;C540,0)</f>
        <v/>
      </c>
      <c r="L540" s="13" t="str">
        <f aca="false">_xlfn.IFS(G540="","", G540=D540,1, G540&lt;&gt;D540,0)</f>
        <v/>
      </c>
    </row>
    <row r="541" customFormat="false" ht="13.8" hidden="false" customHeight="false" outlineLevel="0" collapsed="false">
      <c r="A541" s="3" t="n">
        <v>540</v>
      </c>
      <c r="B541" s="3" t="s">
        <v>732</v>
      </c>
      <c r="C541" s="3" t="s">
        <v>105</v>
      </c>
      <c r="D541" s="3" t="s">
        <v>61</v>
      </c>
      <c r="E541" s="25" t="s">
        <v>877</v>
      </c>
      <c r="F541" s="3" t="s">
        <v>150</v>
      </c>
      <c r="G541" s="3" t="s">
        <v>83</v>
      </c>
      <c r="K541" s="13" t="n">
        <f aca="false">_xlfn.IFS(F541="","", F541=C541,1, F541&lt;&gt;C541,0)</f>
        <v>0</v>
      </c>
      <c r="L541" s="13" t="n">
        <f aca="false">_xlfn.IFS(G541="","", G541=D541,1, G541&lt;&gt;D541,0)</f>
        <v>0</v>
      </c>
    </row>
    <row r="542" customFormat="false" ht="13.8" hidden="false" customHeight="false" outlineLevel="0" collapsed="false">
      <c r="A542" s="3" t="n">
        <v>541</v>
      </c>
      <c r="B542" s="3" t="s">
        <v>322</v>
      </c>
      <c r="C542" s="3" t="s">
        <v>150</v>
      </c>
      <c r="D542" s="3" t="s">
        <v>254</v>
      </c>
      <c r="E542" s="25" t="s">
        <v>877</v>
      </c>
      <c r="F542" s="3" t="s">
        <v>150</v>
      </c>
      <c r="G542" s="3" t="s">
        <v>83</v>
      </c>
      <c r="K542" s="13" t="n">
        <f aca="false">_xlfn.IFS(F542="","", F542=C542,1, F542&lt;&gt;C542,0)</f>
        <v>1</v>
      </c>
      <c r="L542" s="13" t="n">
        <f aca="false">_xlfn.IFS(G542="","", G542=D542,1, G542&lt;&gt;D542,0)</f>
        <v>0</v>
      </c>
    </row>
    <row r="543" customFormat="false" ht="13.8" hidden="false" customHeight="false" outlineLevel="0" collapsed="false">
      <c r="A543" s="3" t="n">
        <v>542</v>
      </c>
      <c r="B543" s="3" t="s">
        <v>864</v>
      </c>
      <c r="C543" s="3" t="s">
        <v>105</v>
      </c>
      <c r="D543" s="3" t="s">
        <v>61</v>
      </c>
      <c r="E543" s="25" t="s">
        <v>878</v>
      </c>
      <c r="F543" s="3"/>
      <c r="G543" s="3"/>
      <c r="K543" s="13" t="str">
        <f aca="false">_xlfn.IFS(F543="","", F543=C543,1, F543&lt;&gt;C543,0)</f>
        <v/>
      </c>
      <c r="L543" s="13" t="str">
        <f aca="false">_xlfn.IFS(G543="","", G543=D543,1, G543&lt;&gt;D543,0)</f>
        <v/>
      </c>
    </row>
    <row r="544" customFormat="false" ht="13.8" hidden="false" customHeight="false" outlineLevel="0" collapsed="false">
      <c r="A544" s="3" t="n">
        <v>543</v>
      </c>
      <c r="B544" s="3" t="s">
        <v>626</v>
      </c>
      <c r="C544" s="3" t="s">
        <v>105</v>
      </c>
      <c r="D544" s="3" t="s">
        <v>77</v>
      </c>
      <c r="E544" s="25" t="s">
        <v>878</v>
      </c>
      <c r="F544" s="3"/>
      <c r="G544" s="3"/>
      <c r="K544" s="13" t="str">
        <f aca="false">_xlfn.IFS(F544="","", F544=C544,1, F544&lt;&gt;C544,0)</f>
        <v/>
      </c>
      <c r="L544" s="13" t="str">
        <f aca="false">_xlfn.IFS(G544="","", G544=D544,1, G544&lt;&gt;D544,0)</f>
        <v/>
      </c>
    </row>
    <row r="545" customFormat="false" ht="13.8" hidden="false" customHeight="false" outlineLevel="0" collapsed="false">
      <c r="A545" s="3" t="n">
        <v>544</v>
      </c>
      <c r="B545" s="3" t="s">
        <v>713</v>
      </c>
      <c r="C545" s="3" t="s">
        <v>105</v>
      </c>
      <c r="D545" s="3" t="s">
        <v>77</v>
      </c>
      <c r="E545" s="25" t="s">
        <v>877</v>
      </c>
      <c r="F545" s="3" t="s">
        <v>879</v>
      </c>
      <c r="G545" s="3"/>
      <c r="K545" s="13" t="n">
        <f aca="false">_xlfn.IFS(F545="","", F545=C545,1, F545&lt;&gt;C545,0)</f>
        <v>0</v>
      </c>
      <c r="L545" s="13" t="str">
        <f aca="false">_xlfn.IFS(G545="","", G545=D545,1, G545&lt;&gt;D545,0)</f>
        <v/>
      </c>
    </row>
    <row r="546" customFormat="false" ht="13.8" hidden="false" customHeight="false" outlineLevel="0" collapsed="false">
      <c r="A546" s="3" t="n">
        <v>545</v>
      </c>
      <c r="B546" s="3" t="s">
        <v>731</v>
      </c>
      <c r="C546" s="3" t="s">
        <v>105</v>
      </c>
      <c r="D546" s="3" t="s">
        <v>61</v>
      </c>
      <c r="E546" s="25" t="s">
        <v>874</v>
      </c>
      <c r="F546" s="3" t="s">
        <v>105</v>
      </c>
      <c r="G546" s="3" t="s">
        <v>61</v>
      </c>
      <c r="K546" s="13" t="n">
        <f aca="false">_xlfn.IFS(F546="","", F546=C546,1, F546&lt;&gt;C546,0)</f>
        <v>1</v>
      </c>
      <c r="L546" s="13" t="n">
        <f aca="false">_xlfn.IFS(G546="","", G546=D546,1, G546&lt;&gt;D546,0)</f>
        <v>1</v>
      </c>
    </row>
    <row r="547" customFormat="false" ht="13.8" hidden="false" customHeight="false" outlineLevel="0" collapsed="false">
      <c r="A547" s="3" t="n">
        <v>546</v>
      </c>
      <c r="B547" s="3" t="s">
        <v>843</v>
      </c>
      <c r="C547" s="3" t="s">
        <v>105</v>
      </c>
      <c r="D547" s="3" t="s">
        <v>61</v>
      </c>
      <c r="E547" s="25" t="s">
        <v>877</v>
      </c>
      <c r="F547" s="3" t="s">
        <v>150</v>
      </c>
      <c r="G547" s="3" t="s">
        <v>883</v>
      </c>
      <c r="K547" s="13" t="n">
        <f aca="false">_xlfn.IFS(F547="","", F547=C547,1, F547&lt;&gt;C547,0)</f>
        <v>0</v>
      </c>
      <c r="L547" s="13" t="n">
        <f aca="false">_xlfn.IFS(G547="","", G547=D547,1, G547&lt;&gt;D547,0)</f>
        <v>0</v>
      </c>
    </row>
    <row r="548" customFormat="false" ht="13.8" hidden="false" customHeight="false" outlineLevel="0" collapsed="false">
      <c r="A548" s="3" t="n">
        <v>547</v>
      </c>
      <c r="B548" s="3" t="s">
        <v>385</v>
      </c>
      <c r="C548" s="3" t="s">
        <v>143</v>
      </c>
      <c r="D548" s="3" t="s">
        <v>198</v>
      </c>
      <c r="E548" s="25" t="s">
        <v>877</v>
      </c>
      <c r="F548" s="3" t="s">
        <v>150</v>
      </c>
      <c r="G548" s="3" t="s">
        <v>63</v>
      </c>
      <c r="K548" s="13" t="n">
        <f aca="false">_xlfn.IFS(F548="","", F548=C548,1, F548&lt;&gt;C548,0)</f>
        <v>0</v>
      </c>
      <c r="L548" s="13" t="n">
        <f aca="false">_xlfn.IFS(G548="","", G548=D548,1, G548&lt;&gt;D548,0)</f>
        <v>0</v>
      </c>
    </row>
    <row r="549" customFormat="false" ht="13.8" hidden="false" customHeight="false" outlineLevel="0" collapsed="false">
      <c r="A549" s="3" t="n">
        <v>548</v>
      </c>
      <c r="B549" s="3" t="s">
        <v>712</v>
      </c>
      <c r="C549" s="3" t="s">
        <v>143</v>
      </c>
      <c r="D549" s="3" t="s">
        <v>198</v>
      </c>
      <c r="E549" s="25" t="s">
        <v>874</v>
      </c>
      <c r="F549" s="3" t="s">
        <v>105</v>
      </c>
      <c r="G549" s="3" t="s">
        <v>61</v>
      </c>
      <c r="K549" s="13" t="n">
        <f aca="false">_xlfn.IFS(F549="","", F549=C549,1, F549&lt;&gt;C549,0)</f>
        <v>0</v>
      </c>
      <c r="L549" s="13" t="n">
        <f aca="false">_xlfn.IFS(G549="","", G549=D549,1, G549&lt;&gt;D549,0)</f>
        <v>0</v>
      </c>
    </row>
    <row r="550" customFormat="false" ht="13.8" hidden="false" customHeight="false" outlineLevel="0" collapsed="false">
      <c r="A550" s="3" t="n">
        <v>549</v>
      </c>
      <c r="B550" s="3" t="s">
        <v>594</v>
      </c>
      <c r="C550" s="3" t="s">
        <v>143</v>
      </c>
      <c r="D550" s="3" t="s">
        <v>198</v>
      </c>
      <c r="E550" s="25" t="s">
        <v>874</v>
      </c>
      <c r="F550" s="3" t="s">
        <v>105</v>
      </c>
      <c r="G550" s="3" t="s">
        <v>61</v>
      </c>
      <c r="K550" s="13" t="n">
        <f aca="false">_xlfn.IFS(F550="","", F550=C550,1, F550&lt;&gt;C550,0)</f>
        <v>0</v>
      </c>
      <c r="L550" s="13" t="n">
        <f aca="false">_xlfn.IFS(G550="","", G550=D550,1, G550&lt;&gt;D550,0)</f>
        <v>0</v>
      </c>
    </row>
    <row r="551" customFormat="false" ht="13.8" hidden="false" customHeight="false" outlineLevel="0" collapsed="false">
      <c r="A551" s="3" t="n">
        <v>550</v>
      </c>
      <c r="B551" s="3" t="s">
        <v>754</v>
      </c>
      <c r="C551" s="3" t="s">
        <v>105</v>
      </c>
      <c r="D551" s="3" t="s">
        <v>77</v>
      </c>
      <c r="E551" s="25" t="s">
        <v>874</v>
      </c>
      <c r="F551" s="3" t="s">
        <v>105</v>
      </c>
      <c r="G551" s="3" t="s">
        <v>61</v>
      </c>
      <c r="K551" s="13" t="n">
        <f aca="false">_xlfn.IFS(F551="","", F551=C551,1, F551&lt;&gt;C551,0)</f>
        <v>1</v>
      </c>
      <c r="L551" s="13" t="n">
        <f aca="false">_xlfn.IFS(G551="","", G551=D551,1, G551&lt;&gt;D551,0)</f>
        <v>0</v>
      </c>
    </row>
    <row r="552" customFormat="false" ht="13.8" hidden="false" customHeight="false" outlineLevel="0" collapsed="false">
      <c r="A552" s="3" t="n">
        <v>551</v>
      </c>
      <c r="B552" s="3" t="s">
        <v>445</v>
      </c>
      <c r="C552" s="3" t="s">
        <v>105</v>
      </c>
      <c r="D552" s="3" t="s">
        <v>61</v>
      </c>
      <c r="E552" s="25" t="s">
        <v>874</v>
      </c>
      <c r="F552" s="3" t="s">
        <v>105</v>
      </c>
      <c r="G552" s="3" t="s">
        <v>61</v>
      </c>
      <c r="K552" s="13" t="n">
        <f aca="false">_xlfn.IFS(F552="","", F552=C552,1, F552&lt;&gt;C552,0)</f>
        <v>1</v>
      </c>
      <c r="L552" s="13" t="n">
        <f aca="false">_xlfn.IFS(G552="","", G552=D552,1, G552&lt;&gt;D552,0)</f>
        <v>1</v>
      </c>
    </row>
    <row r="553" customFormat="false" ht="13.8" hidden="false" customHeight="false" outlineLevel="0" collapsed="false">
      <c r="A553" s="3" t="n">
        <v>552</v>
      </c>
      <c r="B553" s="3" t="s">
        <v>861</v>
      </c>
      <c r="C553" s="3" t="s">
        <v>143</v>
      </c>
      <c r="D553" s="3" t="s">
        <v>198</v>
      </c>
      <c r="E553" s="25" t="s">
        <v>874</v>
      </c>
      <c r="F553" s="3" t="s">
        <v>105</v>
      </c>
      <c r="G553" s="3" t="s">
        <v>61</v>
      </c>
      <c r="K553" s="13" t="n">
        <f aca="false">_xlfn.IFS(F553="","", F553=C553,1, F553&lt;&gt;C553,0)</f>
        <v>0</v>
      </c>
      <c r="L553" s="13" t="n">
        <f aca="false">_xlfn.IFS(G553="","", G553=D553,1, G553&lt;&gt;D553,0)</f>
        <v>0</v>
      </c>
    </row>
    <row r="554" customFormat="false" ht="13.8" hidden="false" customHeight="false" outlineLevel="0" collapsed="false">
      <c r="A554" s="3" t="n">
        <v>553</v>
      </c>
      <c r="B554" s="3" t="s">
        <v>846</v>
      </c>
      <c r="C554" s="3" t="s">
        <v>105</v>
      </c>
      <c r="D554" s="3" t="s">
        <v>61</v>
      </c>
      <c r="E554" s="25" t="s">
        <v>877</v>
      </c>
      <c r="F554" s="3" t="s">
        <v>150</v>
      </c>
      <c r="G554" s="3" t="s">
        <v>63</v>
      </c>
      <c r="K554" s="13" t="n">
        <f aca="false">_xlfn.IFS(F554="","", F554=C554,1, F554&lt;&gt;C554,0)</f>
        <v>0</v>
      </c>
      <c r="L554" s="13" t="n">
        <f aca="false">_xlfn.IFS(G554="","", G554=D554,1, G554&lt;&gt;D554,0)</f>
        <v>0</v>
      </c>
    </row>
    <row r="555" customFormat="false" ht="13.8" hidden="false" customHeight="false" outlineLevel="0" collapsed="false">
      <c r="A555" s="3" t="n">
        <v>554</v>
      </c>
      <c r="B555" s="3" t="s">
        <v>823</v>
      </c>
      <c r="C555" s="3" t="s">
        <v>105</v>
      </c>
      <c r="D555" s="3" t="s">
        <v>61</v>
      </c>
      <c r="E555" s="25" t="s">
        <v>874</v>
      </c>
      <c r="F555" s="3" t="s">
        <v>105</v>
      </c>
      <c r="G555" s="3" t="s">
        <v>61</v>
      </c>
      <c r="K555" s="13" t="n">
        <f aca="false">_xlfn.IFS(F555="","", F555=C555,1, F555&lt;&gt;C555,0)</f>
        <v>1</v>
      </c>
      <c r="L555" s="13" t="n">
        <f aca="false">_xlfn.IFS(G555="","", G555=D555,1, G555&lt;&gt;D555,0)</f>
        <v>1</v>
      </c>
    </row>
    <row r="556" customFormat="false" ht="13.8" hidden="false" customHeight="false" outlineLevel="0" collapsed="false">
      <c r="A556" s="3" t="n">
        <v>555</v>
      </c>
      <c r="B556" s="3" t="s">
        <v>303</v>
      </c>
      <c r="C556" s="3" t="s">
        <v>143</v>
      </c>
      <c r="D556" s="3" t="s">
        <v>198</v>
      </c>
      <c r="E556" s="25" t="s">
        <v>877</v>
      </c>
      <c r="F556" s="3" t="s">
        <v>150</v>
      </c>
      <c r="G556" s="3" t="s">
        <v>883</v>
      </c>
      <c r="K556" s="13" t="n">
        <f aca="false">_xlfn.IFS(F556="","", F556=C556,1, F556&lt;&gt;C556,0)</f>
        <v>0</v>
      </c>
      <c r="L556" s="13" t="n">
        <f aca="false">_xlfn.IFS(G556="","", G556=D556,1, G556&lt;&gt;D556,0)</f>
        <v>0</v>
      </c>
    </row>
    <row r="557" customFormat="false" ht="13.8" hidden="false" customHeight="false" outlineLevel="0" collapsed="false">
      <c r="A557" s="3" t="n">
        <v>556</v>
      </c>
      <c r="B557" s="3" t="s">
        <v>816</v>
      </c>
      <c r="C557" s="3" t="s">
        <v>105</v>
      </c>
      <c r="D557" s="3" t="s">
        <v>61</v>
      </c>
      <c r="E557" s="25" t="s">
        <v>874</v>
      </c>
      <c r="F557" s="3" t="s">
        <v>105</v>
      </c>
      <c r="G557" s="3" t="s">
        <v>61</v>
      </c>
      <c r="K557" s="13" t="n">
        <f aca="false">_xlfn.IFS(F557="","", F557=C557,1, F557&lt;&gt;C557,0)</f>
        <v>1</v>
      </c>
      <c r="L557" s="13" t="n">
        <f aca="false">_xlfn.IFS(G557="","", G557=D557,1, G557&lt;&gt;D557,0)</f>
        <v>1</v>
      </c>
    </row>
    <row r="558" customFormat="false" ht="13.8" hidden="false" customHeight="false" outlineLevel="0" collapsed="false">
      <c r="A558" s="3" t="n">
        <v>557</v>
      </c>
      <c r="B558" s="3" t="s">
        <v>501</v>
      </c>
      <c r="C558" s="3" t="s">
        <v>105</v>
      </c>
      <c r="D558" s="3" t="s">
        <v>61</v>
      </c>
      <c r="E558" s="25" t="s">
        <v>874</v>
      </c>
      <c r="F558" s="3" t="s">
        <v>105</v>
      </c>
      <c r="G558" s="3" t="s">
        <v>61</v>
      </c>
      <c r="K558" s="13" t="n">
        <f aca="false">_xlfn.IFS(F558="","", F558=C558,1, F558&lt;&gt;C558,0)</f>
        <v>1</v>
      </c>
      <c r="L558" s="13" t="n">
        <f aca="false">_xlfn.IFS(G558="","", G558=D558,1, G558&lt;&gt;D558,0)</f>
        <v>1</v>
      </c>
    </row>
    <row r="559" customFormat="false" ht="13.8" hidden="false" customHeight="false" outlineLevel="0" collapsed="false">
      <c r="A559" s="3" t="n">
        <v>558</v>
      </c>
      <c r="B559" s="3" t="s">
        <v>770</v>
      </c>
      <c r="C559" s="3" t="s">
        <v>105</v>
      </c>
      <c r="D559" s="3" t="s">
        <v>61</v>
      </c>
      <c r="E559" s="25" t="s">
        <v>878</v>
      </c>
      <c r="F559" s="3"/>
      <c r="G559" s="3"/>
      <c r="K559" s="13" t="str">
        <f aca="false">_xlfn.IFS(F559="","", F559=C559,1, F559&lt;&gt;C559,0)</f>
        <v/>
      </c>
      <c r="L559" s="13" t="str">
        <f aca="false">_xlfn.IFS(G559="","", G559=D559,1, G559&lt;&gt;D559,0)</f>
        <v/>
      </c>
    </row>
    <row r="560" customFormat="false" ht="13.8" hidden="false" customHeight="false" outlineLevel="0" collapsed="false">
      <c r="A560" s="3" t="n">
        <v>559</v>
      </c>
      <c r="B560" s="3" t="s">
        <v>248</v>
      </c>
      <c r="C560" s="3" t="s">
        <v>150</v>
      </c>
      <c r="D560" s="3" t="s">
        <v>75</v>
      </c>
      <c r="E560" s="25" t="s">
        <v>874</v>
      </c>
      <c r="F560" s="3" t="s">
        <v>105</v>
      </c>
      <c r="G560" s="3" t="s">
        <v>55</v>
      </c>
      <c r="K560" s="13" t="n">
        <f aca="false">_xlfn.IFS(F560="","", F560=C560,1, F560&lt;&gt;C560,0)</f>
        <v>0</v>
      </c>
      <c r="L560" s="13" t="n">
        <f aca="false">_xlfn.IFS(G560="","", G560=D560,1, G560&lt;&gt;D560,0)</f>
        <v>0</v>
      </c>
    </row>
    <row r="561" customFormat="false" ht="13.8" hidden="false" customHeight="false" outlineLevel="0" collapsed="false">
      <c r="A561" s="3" t="n">
        <v>560</v>
      </c>
      <c r="B561" s="3" t="s">
        <v>617</v>
      </c>
      <c r="C561" s="3" t="s">
        <v>133</v>
      </c>
      <c r="D561" s="3" t="s">
        <v>65</v>
      </c>
      <c r="E561" s="25" t="s">
        <v>874</v>
      </c>
      <c r="F561" s="3" t="s">
        <v>105</v>
      </c>
      <c r="G561" s="3" t="s">
        <v>61</v>
      </c>
      <c r="K561" s="13" t="n">
        <f aca="false">_xlfn.IFS(F561="","", F561=C561,1, F561&lt;&gt;C561,0)</f>
        <v>0</v>
      </c>
      <c r="L561" s="13" t="n">
        <f aca="false">_xlfn.IFS(G561="","", G561=D561,1, G561&lt;&gt;D561,0)</f>
        <v>0</v>
      </c>
    </row>
    <row r="562" customFormat="false" ht="13.8" hidden="false" customHeight="false" outlineLevel="0" collapsed="false">
      <c r="A562" s="3" t="n">
        <v>561</v>
      </c>
      <c r="B562" s="3" t="s">
        <v>756</v>
      </c>
      <c r="C562" s="3" t="s">
        <v>105</v>
      </c>
      <c r="D562" s="3" t="s">
        <v>77</v>
      </c>
      <c r="E562" s="25" t="s">
        <v>874</v>
      </c>
      <c r="F562" s="3" t="s">
        <v>105</v>
      </c>
      <c r="G562" s="3" t="s">
        <v>61</v>
      </c>
      <c r="K562" s="13" t="n">
        <f aca="false">_xlfn.IFS(F562="","", F562=C562,1, F562&lt;&gt;C562,0)</f>
        <v>1</v>
      </c>
      <c r="L562" s="13" t="n">
        <f aca="false">_xlfn.IFS(G562="","", G562=D562,1, G562&lt;&gt;D562,0)</f>
        <v>0</v>
      </c>
    </row>
    <row r="563" customFormat="false" ht="13.8" hidden="false" customHeight="false" outlineLevel="0" collapsed="false">
      <c r="A563" s="3" t="n">
        <v>562</v>
      </c>
      <c r="B563" s="3" t="s">
        <v>249</v>
      </c>
      <c r="C563" s="3" t="s">
        <v>143</v>
      </c>
      <c r="D563" s="3" t="s">
        <v>198</v>
      </c>
      <c r="E563" s="25" t="s">
        <v>877</v>
      </c>
      <c r="F563" s="3" t="s">
        <v>150</v>
      </c>
      <c r="G563" s="3" t="s">
        <v>883</v>
      </c>
      <c r="K563" s="13" t="n">
        <f aca="false">_xlfn.IFS(F563="","", F563=C563,1, F563&lt;&gt;C563,0)</f>
        <v>0</v>
      </c>
      <c r="L563" s="13" t="n">
        <f aca="false">_xlfn.IFS(G563="","", G563=D563,1, G563&lt;&gt;D563,0)</f>
        <v>0</v>
      </c>
    </row>
    <row r="564" customFormat="false" ht="13.8" hidden="false" customHeight="false" outlineLevel="0" collapsed="false">
      <c r="A564" s="3" t="n">
        <v>563</v>
      </c>
      <c r="B564" s="3" t="s">
        <v>444</v>
      </c>
      <c r="C564" s="3" t="s">
        <v>105</v>
      </c>
      <c r="D564" s="3" t="s">
        <v>61</v>
      </c>
      <c r="E564" s="25" t="s">
        <v>877</v>
      </c>
      <c r="F564" s="3" t="s">
        <v>150</v>
      </c>
      <c r="G564" s="3" t="s">
        <v>884</v>
      </c>
      <c r="K564" s="13" t="n">
        <f aca="false">_xlfn.IFS(F564="","", F564=C564,1, F564&lt;&gt;C564,0)</f>
        <v>0</v>
      </c>
      <c r="L564" s="13" t="n">
        <f aca="false">_xlfn.IFS(G564="","", G564=D564,1, G564&lt;&gt;D564,0)</f>
        <v>0</v>
      </c>
    </row>
    <row r="565" customFormat="false" ht="13.8" hidden="false" customHeight="false" outlineLevel="0" collapsed="false">
      <c r="A565" s="3" t="n">
        <v>565</v>
      </c>
      <c r="B565" s="3" t="s">
        <v>724</v>
      </c>
      <c r="C565" s="3" t="s">
        <v>143</v>
      </c>
      <c r="D565" s="3" t="s">
        <v>589</v>
      </c>
      <c r="E565" s="25" t="s">
        <v>877</v>
      </c>
      <c r="F565" s="3" t="s">
        <v>150</v>
      </c>
      <c r="G565" s="3" t="s">
        <v>883</v>
      </c>
      <c r="K565" s="13" t="n">
        <f aca="false">_xlfn.IFS(F565="","", F565=C565,1, F565&lt;&gt;C565,0)</f>
        <v>0</v>
      </c>
      <c r="L565" s="13" t="n">
        <f aca="false">_xlfn.IFS(G565="","", G565=D565,1, G565&lt;&gt;D565,0)</f>
        <v>0</v>
      </c>
    </row>
    <row r="566" customFormat="false" ht="13.8" hidden="false" customHeight="false" outlineLevel="0" collapsed="false">
      <c r="A566" s="3" t="n">
        <v>566</v>
      </c>
      <c r="B566" s="3" t="s">
        <v>841</v>
      </c>
      <c r="C566" s="3" t="s">
        <v>143</v>
      </c>
      <c r="D566" s="3" t="s">
        <v>351</v>
      </c>
      <c r="E566" s="25" t="s">
        <v>877</v>
      </c>
      <c r="F566" s="3" t="s">
        <v>150</v>
      </c>
      <c r="G566" s="3" t="s">
        <v>83</v>
      </c>
      <c r="K566" s="13" t="n">
        <f aca="false">_xlfn.IFS(F566="","", F566=C566,1, F566&lt;&gt;C566,0)</f>
        <v>0</v>
      </c>
      <c r="L566" s="13" t="n">
        <f aca="false">_xlfn.IFS(G566="","", G566=D566,1, G566&lt;&gt;D566,0)</f>
        <v>0</v>
      </c>
    </row>
    <row r="567" customFormat="false" ht="13.8" hidden="false" customHeight="false" outlineLevel="0" collapsed="false">
      <c r="A567" s="3" t="n">
        <v>567</v>
      </c>
      <c r="B567" s="3" t="s">
        <v>250</v>
      </c>
      <c r="C567" s="3" t="s">
        <v>143</v>
      </c>
      <c r="D567" s="3" t="s">
        <v>198</v>
      </c>
      <c r="E567" s="25" t="s">
        <v>878</v>
      </c>
      <c r="F567" s="3"/>
      <c r="G567" s="3"/>
      <c r="K567" s="13" t="str">
        <f aca="false">_xlfn.IFS(F567="","", F567=C567,1, F567&lt;&gt;C567,0)</f>
        <v/>
      </c>
      <c r="L567" s="13" t="str">
        <f aca="false">_xlfn.IFS(G567="","", G567=D567,1, G567&lt;&gt;D567,0)</f>
        <v/>
      </c>
    </row>
    <row r="568" customFormat="false" ht="13.8" hidden="false" customHeight="false" outlineLevel="0" collapsed="false">
      <c r="A568" s="3" t="n">
        <v>568</v>
      </c>
      <c r="B568" s="3" t="s">
        <v>304</v>
      </c>
      <c r="C568" s="3" t="s">
        <v>105</v>
      </c>
      <c r="D568" s="3" t="s">
        <v>61</v>
      </c>
      <c r="E568" s="25" t="s">
        <v>877</v>
      </c>
      <c r="F568" s="3" t="s">
        <v>150</v>
      </c>
      <c r="G568" s="3" t="s">
        <v>63</v>
      </c>
      <c r="K568" s="13" t="n">
        <f aca="false">_xlfn.IFS(F568="","", F568=C568,1, F568&lt;&gt;C568,0)</f>
        <v>0</v>
      </c>
      <c r="L568" s="13" t="n">
        <f aca="false">_xlfn.IFS(G568="","", G568=D568,1, G568&lt;&gt;D568,0)</f>
        <v>0</v>
      </c>
    </row>
    <row r="569" customFormat="false" ht="13.8" hidden="false" customHeight="false" outlineLevel="0" collapsed="false">
      <c r="A569" s="3" t="n">
        <v>569</v>
      </c>
      <c r="B569" s="3" t="s">
        <v>251</v>
      </c>
      <c r="C569" s="3" t="s">
        <v>150</v>
      </c>
      <c r="D569" s="3" t="s">
        <v>75</v>
      </c>
      <c r="E569" s="25" t="s">
        <v>877</v>
      </c>
      <c r="F569" s="3" t="s">
        <v>150</v>
      </c>
      <c r="G569" s="3" t="s">
        <v>63</v>
      </c>
      <c r="K569" s="13" t="n">
        <f aca="false">_xlfn.IFS(F569="","", F569=C569,1, F569&lt;&gt;C569,0)</f>
        <v>1</v>
      </c>
      <c r="L569" s="13" t="n">
        <f aca="false">_xlfn.IFS(G569="","", G569=D569,1, G569&lt;&gt;D569,0)</f>
        <v>0</v>
      </c>
    </row>
    <row r="570" customFormat="false" ht="13.8" hidden="false" customHeight="false" outlineLevel="0" collapsed="false">
      <c r="A570" s="3" t="n">
        <v>570</v>
      </c>
      <c r="B570" s="3" t="s">
        <v>252</v>
      </c>
      <c r="C570" s="3" t="s">
        <v>105</v>
      </c>
      <c r="D570" s="3" t="s">
        <v>61</v>
      </c>
      <c r="E570" s="25" t="s">
        <v>874</v>
      </c>
      <c r="F570" s="3" t="s">
        <v>105</v>
      </c>
      <c r="G570" s="3" t="s">
        <v>61</v>
      </c>
      <c r="K570" s="13" t="n">
        <f aca="false">_xlfn.IFS(F570="","", F570=C570,1, F570&lt;&gt;C570,0)</f>
        <v>1</v>
      </c>
      <c r="L570" s="13" t="n">
        <f aca="false">_xlfn.IFS(G570="","", G570=D570,1, G570&lt;&gt;D570,0)</f>
        <v>1</v>
      </c>
    </row>
    <row r="571" customFormat="false" ht="13.8" hidden="false" customHeight="false" outlineLevel="0" collapsed="false">
      <c r="A571" s="3" t="n">
        <v>572</v>
      </c>
      <c r="B571" s="3" t="s">
        <v>647</v>
      </c>
      <c r="C571" s="3" t="s">
        <v>150</v>
      </c>
      <c r="D571" s="3" t="s">
        <v>83</v>
      </c>
      <c r="E571" s="25" t="s">
        <v>877</v>
      </c>
      <c r="F571" s="3" t="s">
        <v>150</v>
      </c>
      <c r="G571" s="3" t="s">
        <v>63</v>
      </c>
      <c r="K571" s="13" t="n">
        <f aca="false">_xlfn.IFS(F571="","", F571=C571,1, F571&lt;&gt;C571,0)</f>
        <v>1</v>
      </c>
      <c r="L571" s="13" t="n">
        <f aca="false">_xlfn.IFS(G571="","", G571=D571,1, G571&lt;&gt;D571,0)</f>
        <v>0</v>
      </c>
    </row>
    <row r="572" customFormat="false" ht="13.8" hidden="false" customHeight="false" outlineLevel="0" collapsed="false">
      <c r="A572" s="3" t="n">
        <v>573</v>
      </c>
      <c r="B572" s="3" t="s">
        <v>495</v>
      </c>
      <c r="C572" s="3" t="s">
        <v>143</v>
      </c>
      <c r="D572" s="3" t="s">
        <v>198</v>
      </c>
      <c r="E572" s="25" t="s">
        <v>877</v>
      </c>
      <c r="F572" s="3" t="s">
        <v>150</v>
      </c>
      <c r="G572" s="3" t="s">
        <v>884</v>
      </c>
      <c r="K572" s="13" t="n">
        <f aca="false">_xlfn.IFS(F572="","", F572=C572,1, F572&lt;&gt;C572,0)</f>
        <v>0</v>
      </c>
      <c r="L572" s="13" t="n">
        <f aca="false">_xlfn.IFS(G572="","", G572=D572,1, G572&lt;&gt;D572,0)</f>
        <v>0</v>
      </c>
    </row>
    <row r="573" customFormat="false" ht="13.8" hidden="false" customHeight="false" outlineLevel="0" collapsed="false">
      <c r="A573" s="3" t="n">
        <v>574</v>
      </c>
      <c r="B573" s="3" t="s">
        <v>844</v>
      </c>
      <c r="C573" s="3" t="s">
        <v>143</v>
      </c>
      <c r="D573" s="3" t="s">
        <v>351</v>
      </c>
      <c r="E573" s="25" t="s">
        <v>878</v>
      </c>
      <c r="F573" s="3"/>
      <c r="G573" s="3"/>
      <c r="K573" s="13" t="str">
        <f aca="false">_xlfn.IFS(F573="","", F573=C573,1, F573&lt;&gt;C573,0)</f>
        <v/>
      </c>
      <c r="L573" s="13" t="str">
        <f aca="false">_xlfn.IFS(G573="","", G573=D573,1, G573&lt;&gt;D573,0)</f>
        <v/>
      </c>
    </row>
    <row r="574" customFormat="false" ht="13.8" hidden="false" customHeight="false" outlineLevel="0" collapsed="false">
      <c r="A574" s="3" t="n">
        <v>575</v>
      </c>
      <c r="B574" s="3" t="s">
        <v>430</v>
      </c>
      <c r="C574" s="3" t="s">
        <v>150</v>
      </c>
      <c r="D574" s="3" t="s">
        <v>254</v>
      </c>
      <c r="E574" s="25" t="s">
        <v>878</v>
      </c>
      <c r="F574" s="3"/>
      <c r="G574" s="3"/>
      <c r="K574" s="13" t="str">
        <f aca="false">_xlfn.IFS(F574="","", F574=C574,1, F574&lt;&gt;C574,0)</f>
        <v/>
      </c>
      <c r="L574" s="13" t="str">
        <f aca="false">_xlfn.IFS(G574="","", G574=D574,1, G574&lt;&gt;D574,0)</f>
        <v/>
      </c>
    </row>
    <row r="575" customFormat="false" ht="13.8" hidden="false" customHeight="false" outlineLevel="0" collapsed="false">
      <c r="A575" s="3" t="n">
        <v>576</v>
      </c>
      <c r="B575" s="3" t="s">
        <v>716</v>
      </c>
      <c r="C575" s="3" t="s">
        <v>143</v>
      </c>
      <c r="D575" s="3" t="s">
        <v>589</v>
      </c>
      <c r="E575" s="25" t="s">
        <v>877</v>
      </c>
      <c r="F575" s="3" t="s">
        <v>150</v>
      </c>
      <c r="G575" s="3" t="s">
        <v>63</v>
      </c>
      <c r="K575" s="13" t="n">
        <f aca="false">_xlfn.IFS(F575="","", F575=C575,1, F575&lt;&gt;C575,0)</f>
        <v>0</v>
      </c>
      <c r="L575" s="13" t="n">
        <f aca="false">_xlfn.IFS(G575="","", G575=D575,1, G575&lt;&gt;D575,0)</f>
        <v>0</v>
      </c>
    </row>
    <row r="576" customFormat="false" ht="13.8" hidden="false" customHeight="false" outlineLevel="0" collapsed="false">
      <c r="A576" s="3" t="n">
        <v>577</v>
      </c>
      <c r="B576" s="3" t="s">
        <v>856</v>
      </c>
      <c r="C576" s="3" t="s">
        <v>143</v>
      </c>
      <c r="D576" s="3" t="s">
        <v>351</v>
      </c>
      <c r="E576" s="25" t="s">
        <v>874</v>
      </c>
      <c r="F576" s="3" t="s">
        <v>105</v>
      </c>
      <c r="G576" s="3" t="s">
        <v>61</v>
      </c>
      <c r="K576" s="13" t="n">
        <f aca="false">_xlfn.IFS(F576="","", F576=C576,1, F576&lt;&gt;C576,0)</f>
        <v>0</v>
      </c>
      <c r="L576" s="13" t="n">
        <f aca="false">_xlfn.IFS(G576="","", G576=D576,1, G576&lt;&gt;D576,0)</f>
        <v>0</v>
      </c>
    </row>
    <row r="577" customFormat="false" ht="13.8" hidden="false" customHeight="false" outlineLevel="0" collapsed="false">
      <c r="A577" s="3" t="n">
        <v>578</v>
      </c>
      <c r="B577" s="3" t="s">
        <v>305</v>
      </c>
      <c r="C577" s="3" t="s">
        <v>133</v>
      </c>
      <c r="D577" s="3" t="s">
        <v>65</v>
      </c>
      <c r="E577" s="25" t="s">
        <v>877</v>
      </c>
      <c r="F577" s="3" t="s">
        <v>150</v>
      </c>
      <c r="G577" s="3" t="s">
        <v>63</v>
      </c>
      <c r="K577" s="13" t="n">
        <f aca="false">_xlfn.IFS(F577="","", F577=C577,1, F577&lt;&gt;C577,0)</f>
        <v>0</v>
      </c>
      <c r="L577" s="13" t="n">
        <f aca="false">_xlfn.IFS(G577="","", G577=D577,1, G577&lt;&gt;D577,0)</f>
        <v>0</v>
      </c>
    </row>
    <row r="578" customFormat="false" ht="13.8" hidden="false" customHeight="false" outlineLevel="0" collapsed="false">
      <c r="A578" s="3" t="n">
        <v>579</v>
      </c>
      <c r="B578" s="3" t="s">
        <v>253</v>
      </c>
      <c r="C578" s="3" t="s">
        <v>150</v>
      </c>
      <c r="D578" s="3" t="s">
        <v>254</v>
      </c>
      <c r="E578" s="25" t="s">
        <v>877</v>
      </c>
      <c r="F578" s="3" t="s">
        <v>150</v>
      </c>
      <c r="G578" s="3" t="s">
        <v>63</v>
      </c>
      <c r="K578" s="13" t="n">
        <f aca="false">_xlfn.IFS(F578="","", F578=C578,1, F578&lt;&gt;C578,0)</f>
        <v>1</v>
      </c>
      <c r="L578" s="13" t="n">
        <f aca="false">_xlfn.IFS(G578="","", G578=D578,1, G578&lt;&gt;D578,0)</f>
        <v>0</v>
      </c>
    </row>
    <row r="579" customFormat="false" ht="13.8" hidden="false" customHeight="false" outlineLevel="0" collapsed="false">
      <c r="A579" s="3" t="n">
        <v>580</v>
      </c>
      <c r="B579" s="3" t="s">
        <v>459</v>
      </c>
      <c r="C579" s="3" t="s">
        <v>105</v>
      </c>
      <c r="D579" s="3" t="s">
        <v>77</v>
      </c>
      <c r="E579" s="25" t="s">
        <v>874</v>
      </c>
      <c r="F579" s="3" t="s">
        <v>105</v>
      </c>
      <c r="G579" s="3" t="s">
        <v>61</v>
      </c>
      <c r="K579" s="13" t="n">
        <f aca="false">_xlfn.IFS(F579="","", F579=C579,1, F579&lt;&gt;C579,0)</f>
        <v>1</v>
      </c>
      <c r="L579" s="13" t="n">
        <f aca="false">_xlfn.IFS(G579="","", G579=D579,1, G579&lt;&gt;D579,0)</f>
        <v>0</v>
      </c>
    </row>
    <row r="580" customFormat="false" ht="13.8" hidden="false" customHeight="false" outlineLevel="0" collapsed="false">
      <c r="A580" s="3" t="n">
        <v>581</v>
      </c>
      <c r="B580" s="3" t="s">
        <v>673</v>
      </c>
      <c r="C580" s="3" t="s">
        <v>105</v>
      </c>
      <c r="D580" s="3" t="s">
        <v>55</v>
      </c>
      <c r="E580" s="25" t="s">
        <v>874</v>
      </c>
      <c r="F580" s="3" t="s">
        <v>105</v>
      </c>
      <c r="G580" s="3" t="s">
        <v>61</v>
      </c>
      <c r="K580" s="13" t="n">
        <f aca="false">_xlfn.IFS(F580="","", F580=C580,1, F580&lt;&gt;C580,0)</f>
        <v>1</v>
      </c>
      <c r="L580" s="13" t="n">
        <f aca="false">_xlfn.IFS(G580="","", G580=D580,1, G580&lt;&gt;D580,0)</f>
        <v>0</v>
      </c>
    </row>
    <row r="581" customFormat="false" ht="13.8" hidden="false" customHeight="false" outlineLevel="0" collapsed="false">
      <c r="A581" s="3" t="n">
        <v>582</v>
      </c>
      <c r="B581" s="3" t="s">
        <v>486</v>
      </c>
      <c r="C581" s="3" t="s">
        <v>105</v>
      </c>
      <c r="D581" s="3" t="s">
        <v>77</v>
      </c>
      <c r="E581" s="25" t="s">
        <v>874</v>
      </c>
      <c r="F581" s="3" t="s">
        <v>105</v>
      </c>
      <c r="G581" s="3" t="s">
        <v>61</v>
      </c>
      <c r="K581" s="13" t="n">
        <f aca="false">_xlfn.IFS(F581="","", F581=C581,1, F581&lt;&gt;C581,0)</f>
        <v>1</v>
      </c>
      <c r="L581" s="13" t="n">
        <f aca="false">_xlfn.IFS(G581="","", G581=D581,1, G581&lt;&gt;D581,0)</f>
        <v>0</v>
      </c>
    </row>
    <row r="582" customFormat="false" ht="13.8" hidden="false" customHeight="false" outlineLevel="0" collapsed="false">
      <c r="A582" s="3" t="n">
        <v>583</v>
      </c>
      <c r="B582" s="3" t="s">
        <v>623</v>
      </c>
      <c r="C582" s="3" t="s">
        <v>105</v>
      </c>
      <c r="D582" s="3" t="s">
        <v>61</v>
      </c>
      <c r="E582" s="25" t="s">
        <v>874</v>
      </c>
      <c r="F582" s="3" t="s">
        <v>105</v>
      </c>
      <c r="G582" s="3" t="s">
        <v>61</v>
      </c>
      <c r="K582" s="13" t="n">
        <f aca="false">_xlfn.IFS(F582="","", F582=C582,1, F582&lt;&gt;C582,0)</f>
        <v>1</v>
      </c>
      <c r="L582" s="13" t="n">
        <f aca="false">_xlfn.IFS(G582="","", G582=D582,1, G582&lt;&gt;D582,0)</f>
        <v>1</v>
      </c>
    </row>
    <row r="583" customFormat="false" ht="13.8" hidden="false" customHeight="false" outlineLevel="0" collapsed="false">
      <c r="A583" s="3" t="n">
        <v>584</v>
      </c>
      <c r="B583" s="3" t="s">
        <v>763</v>
      </c>
      <c r="C583" s="3" t="s">
        <v>105</v>
      </c>
      <c r="D583" s="3" t="s">
        <v>77</v>
      </c>
      <c r="E583" s="25" t="s">
        <v>874</v>
      </c>
      <c r="F583" s="3" t="s">
        <v>105</v>
      </c>
      <c r="G583" s="3" t="s">
        <v>61</v>
      </c>
      <c r="K583" s="13" t="n">
        <f aca="false">_xlfn.IFS(F583="","", F583=C583,1, F583&lt;&gt;C583,0)</f>
        <v>1</v>
      </c>
      <c r="L583" s="13" t="n">
        <f aca="false">_xlfn.IFS(G583="","", G583=D583,1, G583&lt;&gt;D583,0)</f>
        <v>0</v>
      </c>
    </row>
    <row r="584" customFormat="false" ht="13.8" hidden="false" customHeight="false" outlineLevel="0" collapsed="false">
      <c r="A584" s="3" t="n">
        <v>585</v>
      </c>
      <c r="B584" s="3" t="s">
        <v>742</v>
      </c>
      <c r="C584" s="3" t="s">
        <v>105</v>
      </c>
      <c r="D584" s="3" t="s">
        <v>61</v>
      </c>
      <c r="E584" s="25" t="s">
        <v>877</v>
      </c>
      <c r="F584" s="3" t="s">
        <v>150</v>
      </c>
      <c r="G584" s="3" t="s">
        <v>63</v>
      </c>
      <c r="K584" s="13" t="n">
        <f aca="false">_xlfn.IFS(F584="","", F584=C584,1, F584&lt;&gt;C584,0)</f>
        <v>0</v>
      </c>
      <c r="L584" s="13" t="n">
        <f aca="false">_xlfn.IFS(G584="","", G584=D584,1, G584&lt;&gt;D584,0)</f>
        <v>0</v>
      </c>
    </row>
    <row r="585" customFormat="false" ht="13.8" hidden="false" customHeight="false" outlineLevel="0" collapsed="false">
      <c r="A585" s="3" t="n">
        <v>586</v>
      </c>
      <c r="B585" s="3" t="s">
        <v>255</v>
      </c>
      <c r="C585" s="3" t="s">
        <v>143</v>
      </c>
      <c r="D585" s="3" t="s">
        <v>256</v>
      </c>
      <c r="E585" s="25" t="s">
        <v>874</v>
      </c>
      <c r="F585" s="3" t="s">
        <v>105</v>
      </c>
      <c r="G585" s="3" t="s">
        <v>61</v>
      </c>
      <c r="K585" s="13" t="n">
        <f aca="false">_xlfn.IFS(F585="","", F585=C585,1, F585&lt;&gt;C585,0)</f>
        <v>0</v>
      </c>
      <c r="L585" s="13" t="n">
        <f aca="false">_xlfn.IFS(G585="","", G585=D585,1, G585&lt;&gt;D585,0)</f>
        <v>0</v>
      </c>
    </row>
    <row r="586" customFormat="false" ht="13.8" hidden="false" customHeight="false" outlineLevel="0" collapsed="false">
      <c r="A586" s="3" t="n">
        <v>587</v>
      </c>
      <c r="B586" s="3" t="s">
        <v>258</v>
      </c>
      <c r="C586" s="3" t="s">
        <v>150</v>
      </c>
      <c r="D586" s="3" t="s">
        <v>83</v>
      </c>
      <c r="E586" s="25" t="s">
        <v>877</v>
      </c>
      <c r="F586" s="3" t="s">
        <v>885</v>
      </c>
      <c r="G586" s="3"/>
      <c r="K586" s="13" t="n">
        <f aca="false">_xlfn.IFS(F586="","", F586=C586,1, F586&lt;&gt;C586,0)</f>
        <v>0</v>
      </c>
      <c r="L586" s="13" t="str">
        <f aca="false">_xlfn.IFS(G586="","", G586=D586,1, G586&lt;&gt;D586,0)</f>
        <v/>
      </c>
    </row>
    <row r="587" customFormat="false" ht="13.8" hidden="false" customHeight="false" outlineLevel="0" collapsed="false">
      <c r="A587" s="3" t="n">
        <v>588</v>
      </c>
      <c r="B587" s="3" t="s">
        <v>259</v>
      </c>
      <c r="C587" s="3" t="s">
        <v>143</v>
      </c>
      <c r="D587" s="3" t="s">
        <v>198</v>
      </c>
      <c r="E587" s="25" t="s">
        <v>874</v>
      </c>
      <c r="F587" s="3" t="s">
        <v>105</v>
      </c>
      <c r="G587" s="3" t="s">
        <v>61</v>
      </c>
      <c r="K587" s="13" t="n">
        <f aca="false">_xlfn.IFS(F587="","", F587=C587,1, F587&lt;&gt;C587,0)</f>
        <v>0</v>
      </c>
      <c r="L587" s="13" t="n">
        <f aca="false">_xlfn.IFS(G587="","", G587=D587,1, G587&lt;&gt;D587,0)</f>
        <v>0</v>
      </c>
    </row>
    <row r="588" customFormat="false" ht="13.8" hidden="false" customHeight="false" outlineLevel="0" collapsed="false">
      <c r="A588" s="3" t="n">
        <v>589</v>
      </c>
      <c r="B588" s="3" t="s">
        <v>653</v>
      </c>
      <c r="C588" s="3" t="s">
        <v>105</v>
      </c>
      <c r="D588" s="3" t="s">
        <v>77</v>
      </c>
      <c r="E588" s="25" t="s">
        <v>874</v>
      </c>
      <c r="F588" s="3" t="s">
        <v>105</v>
      </c>
      <c r="G588" s="3" t="s">
        <v>61</v>
      </c>
      <c r="K588" s="13" t="n">
        <f aca="false">_xlfn.IFS(F588="","", F588=C588,1, F588&lt;&gt;C588,0)</f>
        <v>1</v>
      </c>
      <c r="L588" s="13" t="n">
        <f aca="false">_xlfn.IFS(G588="","", G588=D588,1, G588&lt;&gt;D588,0)</f>
        <v>0</v>
      </c>
    </row>
    <row r="589" customFormat="false" ht="13.8" hidden="false" customHeight="false" outlineLevel="0" collapsed="false">
      <c r="A589" s="3" t="n">
        <v>590</v>
      </c>
      <c r="B589" s="3" t="s">
        <v>738</v>
      </c>
      <c r="C589" s="3" t="s">
        <v>143</v>
      </c>
      <c r="D589" s="3" t="s">
        <v>198</v>
      </c>
      <c r="E589" s="25" t="s">
        <v>878</v>
      </c>
      <c r="F589" s="3"/>
      <c r="G589" s="3"/>
      <c r="K589" s="13" t="str">
        <f aca="false">_xlfn.IFS(F589="","", F589=C589,1, F589&lt;&gt;C589,0)</f>
        <v/>
      </c>
      <c r="L589" s="13" t="str">
        <f aca="false">_xlfn.IFS(G589="","", G589=D589,1, G589&lt;&gt;D589,0)</f>
        <v/>
      </c>
    </row>
    <row r="590" customFormat="false" ht="13.8" hidden="false" customHeight="false" outlineLevel="0" collapsed="false">
      <c r="A590" s="3" t="n">
        <v>591</v>
      </c>
      <c r="B590" s="3" t="s">
        <v>785</v>
      </c>
      <c r="C590" s="3" t="s">
        <v>150</v>
      </c>
      <c r="D590" s="3" t="s">
        <v>75</v>
      </c>
      <c r="E590" s="25" t="s">
        <v>874</v>
      </c>
      <c r="F590" s="3" t="s">
        <v>105</v>
      </c>
      <c r="G590" s="3" t="s">
        <v>61</v>
      </c>
      <c r="K590" s="13" t="n">
        <f aca="false">_xlfn.IFS(F590="","", F590=C590,1, F590&lt;&gt;C590,0)</f>
        <v>0</v>
      </c>
      <c r="L590" s="13" t="n">
        <f aca="false">_xlfn.IFS(G590="","", G590=D590,1, G590&lt;&gt;D590,0)</f>
        <v>0</v>
      </c>
    </row>
    <row r="591" customFormat="false" ht="13.8" hidden="false" customHeight="false" outlineLevel="0" collapsed="false">
      <c r="A591" s="3" t="n">
        <v>592</v>
      </c>
      <c r="B591" s="3" t="s">
        <v>614</v>
      </c>
      <c r="C591" s="3" t="s">
        <v>105</v>
      </c>
      <c r="D591" s="3" t="s">
        <v>61</v>
      </c>
      <c r="E591" s="25" t="s">
        <v>874</v>
      </c>
      <c r="F591" s="3" t="s">
        <v>105</v>
      </c>
      <c r="G591" s="3" t="s">
        <v>61</v>
      </c>
      <c r="K591" s="13" t="n">
        <f aca="false">_xlfn.IFS(F591="","", F591=C591,1, F591&lt;&gt;C591,0)</f>
        <v>1</v>
      </c>
      <c r="L591" s="13" t="n">
        <f aca="false">_xlfn.IFS(G591="","", G591=D591,1, G591&lt;&gt;D591,0)</f>
        <v>1</v>
      </c>
    </row>
    <row r="592" customFormat="false" ht="13.8" hidden="false" customHeight="false" outlineLevel="0" collapsed="false">
      <c r="A592" s="3" t="n">
        <v>593</v>
      </c>
      <c r="B592" s="3" t="s">
        <v>404</v>
      </c>
      <c r="C592" s="3" t="s">
        <v>143</v>
      </c>
      <c r="D592" s="3" t="s">
        <v>256</v>
      </c>
      <c r="E592" s="25" t="s">
        <v>874</v>
      </c>
      <c r="F592" s="3" t="s">
        <v>105</v>
      </c>
      <c r="G592" s="3" t="s">
        <v>55</v>
      </c>
      <c r="K592" s="13" t="n">
        <f aca="false">_xlfn.IFS(F592="","", F592=C592,1, F592&lt;&gt;C592,0)</f>
        <v>0</v>
      </c>
      <c r="L592" s="13" t="n">
        <f aca="false">_xlfn.IFS(G592="","", G592=D592,1, G592&lt;&gt;D592,0)</f>
        <v>0</v>
      </c>
    </row>
    <row r="593" customFormat="false" ht="13.8" hidden="false" customHeight="false" outlineLevel="0" collapsed="false">
      <c r="A593" s="3" t="n">
        <v>594</v>
      </c>
      <c r="B593" s="3" t="s">
        <v>752</v>
      </c>
      <c r="C593" s="3" t="s">
        <v>105</v>
      </c>
      <c r="D593" s="3" t="s">
        <v>61</v>
      </c>
      <c r="E593" s="25" t="s">
        <v>877</v>
      </c>
      <c r="F593" s="3" t="s">
        <v>150</v>
      </c>
      <c r="G593" s="3" t="s">
        <v>63</v>
      </c>
      <c r="K593" s="13" t="n">
        <f aca="false">_xlfn.IFS(F593="","", F593=C593,1, F593&lt;&gt;C593,0)</f>
        <v>0</v>
      </c>
      <c r="L593" s="13" t="n">
        <f aca="false">_xlfn.IFS(G593="","", G593=D593,1, G593&lt;&gt;D593,0)</f>
        <v>0</v>
      </c>
    </row>
    <row r="594" customFormat="false" ht="13.8" hidden="false" customHeight="false" outlineLevel="0" collapsed="false">
      <c r="A594" s="3" t="n">
        <v>595</v>
      </c>
      <c r="B594" s="3" t="s">
        <v>645</v>
      </c>
      <c r="C594" s="3" t="s">
        <v>105</v>
      </c>
      <c r="D594" s="3" t="s">
        <v>77</v>
      </c>
      <c r="E594" s="25" t="s">
        <v>877</v>
      </c>
      <c r="F594" s="3" t="s">
        <v>150</v>
      </c>
      <c r="G594" s="3" t="s">
        <v>63</v>
      </c>
      <c r="K594" s="13" t="n">
        <f aca="false">_xlfn.IFS(F594="","", F594=C594,1, F594&lt;&gt;C594,0)</f>
        <v>0</v>
      </c>
      <c r="L594" s="13" t="n">
        <f aca="false">_xlfn.IFS(G594="","", G594=D594,1, G594&lt;&gt;D594,0)</f>
        <v>0</v>
      </c>
    </row>
    <row r="595" customFormat="false" ht="13.8" hidden="false" customHeight="false" outlineLevel="0" collapsed="false">
      <c r="A595" s="3" t="n">
        <v>596</v>
      </c>
      <c r="B595" s="3" t="s">
        <v>739</v>
      </c>
      <c r="C595" s="3" t="s">
        <v>105</v>
      </c>
      <c r="D595" s="3" t="s">
        <v>61</v>
      </c>
      <c r="E595" s="25" t="s">
        <v>877</v>
      </c>
      <c r="F595" s="3" t="s">
        <v>150</v>
      </c>
      <c r="G595" s="3" t="s">
        <v>63</v>
      </c>
      <c r="K595" s="13" t="n">
        <f aca="false">_xlfn.IFS(F595="","", F595=C595,1, F595&lt;&gt;C595,0)</f>
        <v>0</v>
      </c>
      <c r="L595" s="13" t="n">
        <f aca="false">_xlfn.IFS(G595="","", G595=D595,1, G595&lt;&gt;D595,0)</f>
        <v>0</v>
      </c>
    </row>
    <row r="596" customFormat="false" ht="13.8" hidden="false" customHeight="false" outlineLevel="0" collapsed="false">
      <c r="A596" s="3" t="n">
        <v>597</v>
      </c>
      <c r="B596" s="3" t="s">
        <v>393</v>
      </c>
      <c r="C596" s="3" t="s">
        <v>143</v>
      </c>
      <c r="D596" s="3" t="s">
        <v>198</v>
      </c>
      <c r="E596" s="25" t="s">
        <v>877</v>
      </c>
      <c r="F596" s="3" t="s">
        <v>150</v>
      </c>
      <c r="G596" s="3" t="s">
        <v>63</v>
      </c>
      <c r="K596" s="13" t="n">
        <f aca="false">_xlfn.IFS(F596="","", F596=C596,1, F596&lt;&gt;C596,0)</f>
        <v>0</v>
      </c>
      <c r="L596" s="13" t="n">
        <f aca="false">_xlfn.IFS(G596="","", G596=D596,1, G596&lt;&gt;D596,0)</f>
        <v>0</v>
      </c>
    </row>
    <row r="597" customFormat="false" ht="13.8" hidden="false" customHeight="false" outlineLevel="0" collapsed="false">
      <c r="A597" s="3" t="n">
        <v>598</v>
      </c>
      <c r="B597" s="3" t="s">
        <v>801</v>
      </c>
      <c r="C597" s="3" t="s">
        <v>105</v>
      </c>
      <c r="D597" s="3" t="s">
        <v>55</v>
      </c>
      <c r="E597" s="25" t="s">
        <v>877</v>
      </c>
      <c r="F597" s="3" t="s">
        <v>150</v>
      </c>
      <c r="G597" s="3" t="s">
        <v>63</v>
      </c>
      <c r="K597" s="13" t="n">
        <f aca="false">_xlfn.IFS(F597="","", F597=C597,1, F597&lt;&gt;C597,0)</f>
        <v>0</v>
      </c>
      <c r="L597" s="13" t="n">
        <f aca="false">_xlfn.IFS(G597="","", G597=D597,1, G597&lt;&gt;D597,0)</f>
        <v>0</v>
      </c>
    </row>
    <row r="598" customFormat="false" ht="13.8" hidden="false" customHeight="false" outlineLevel="0" collapsed="false">
      <c r="A598" s="3" t="n">
        <v>599</v>
      </c>
      <c r="B598" s="3" t="s">
        <v>606</v>
      </c>
      <c r="C598" s="3" t="s">
        <v>105</v>
      </c>
      <c r="D598" s="3" t="s">
        <v>61</v>
      </c>
      <c r="E598" s="25" t="s">
        <v>878</v>
      </c>
      <c r="F598" s="3"/>
      <c r="G598" s="3"/>
      <c r="K598" s="13" t="str">
        <f aca="false">_xlfn.IFS(F598="","", F598=C598,1, F598&lt;&gt;C598,0)</f>
        <v/>
      </c>
      <c r="L598" s="13" t="str">
        <f aca="false">_xlfn.IFS(G598="","", G598=D598,1, G598&lt;&gt;D598,0)</f>
        <v/>
      </c>
    </row>
    <row r="599" customFormat="false" ht="13.8" hidden="false" customHeight="false" outlineLevel="0" collapsed="false">
      <c r="A599" s="3" t="n">
        <v>600</v>
      </c>
      <c r="B599" s="3" t="s">
        <v>306</v>
      </c>
      <c r="C599" s="3" t="s">
        <v>143</v>
      </c>
      <c r="D599" s="3" t="s">
        <v>198</v>
      </c>
      <c r="E599" s="25" t="s">
        <v>877</v>
      </c>
      <c r="F599" s="3" t="s">
        <v>150</v>
      </c>
      <c r="G599" s="3" t="s">
        <v>63</v>
      </c>
      <c r="K599" s="13" t="n">
        <f aca="false">_xlfn.IFS(F599="","", F599=C599,1, F599&lt;&gt;C599,0)</f>
        <v>0</v>
      </c>
      <c r="L599" s="13" t="n">
        <f aca="false">_xlfn.IFS(G599="","", G599=D599,1, G599&lt;&gt;D599,0)</f>
        <v>0</v>
      </c>
    </row>
    <row r="600" customFormat="false" ht="13.8" hidden="false" customHeight="false" outlineLevel="0" collapsed="false">
      <c r="A600" s="3" t="n">
        <v>601</v>
      </c>
      <c r="B600" s="3" t="s">
        <v>483</v>
      </c>
      <c r="C600" s="3" t="s">
        <v>105</v>
      </c>
      <c r="D600" s="3" t="s">
        <v>77</v>
      </c>
      <c r="E600" s="25" t="s">
        <v>877</v>
      </c>
      <c r="F600" s="3" t="s">
        <v>879</v>
      </c>
      <c r="G600" s="3"/>
      <c r="K600" s="13" t="n">
        <f aca="false">_xlfn.IFS(F600="","", F600=C600,1, F600&lt;&gt;C600,0)</f>
        <v>0</v>
      </c>
      <c r="L600" s="13" t="str">
        <f aca="false">_xlfn.IFS(G600="","", G600=D600,1, G600&lt;&gt;D600,0)</f>
        <v/>
      </c>
    </row>
    <row r="601" customFormat="false" ht="13.8" hidden="false" customHeight="false" outlineLevel="0" collapsed="false">
      <c r="A601" s="3" t="n">
        <v>602</v>
      </c>
      <c r="B601" s="3" t="s">
        <v>693</v>
      </c>
      <c r="C601" s="3" t="s">
        <v>143</v>
      </c>
      <c r="D601" s="3" t="s">
        <v>198</v>
      </c>
      <c r="E601" s="25" t="s">
        <v>874</v>
      </c>
      <c r="F601" s="3" t="s">
        <v>105</v>
      </c>
      <c r="G601" s="3" t="s">
        <v>61</v>
      </c>
      <c r="K601" s="13" t="n">
        <f aca="false">_xlfn.IFS(F601="","", F601=C601,1, F601&lt;&gt;C601,0)</f>
        <v>0</v>
      </c>
      <c r="L601" s="13" t="n">
        <f aca="false">_xlfn.IFS(G601="","", G601=D601,1, G601&lt;&gt;D601,0)</f>
        <v>0</v>
      </c>
    </row>
    <row r="602" customFormat="false" ht="13.8" hidden="false" customHeight="false" outlineLevel="0" collapsed="false">
      <c r="A602" s="3" t="n">
        <v>603</v>
      </c>
      <c r="B602" s="3" t="s">
        <v>490</v>
      </c>
      <c r="C602" s="3" t="s">
        <v>105</v>
      </c>
      <c r="D602" s="3" t="s">
        <v>61</v>
      </c>
      <c r="E602" s="25" t="s">
        <v>878</v>
      </c>
      <c r="F602" s="3"/>
      <c r="G602" s="3"/>
      <c r="K602" s="13" t="str">
        <f aca="false">_xlfn.IFS(F602="","", F602=C602,1, F602&lt;&gt;C602,0)</f>
        <v/>
      </c>
      <c r="L602" s="13" t="str">
        <f aca="false">_xlfn.IFS(G602="","", G602=D602,1, G602&lt;&gt;D602,0)</f>
        <v/>
      </c>
    </row>
    <row r="603" customFormat="false" ht="13.8" hidden="false" customHeight="false" outlineLevel="0" collapsed="false">
      <c r="A603" s="3" t="n">
        <v>604</v>
      </c>
      <c r="B603" s="3" t="s">
        <v>330</v>
      </c>
      <c r="C603" s="3" t="s">
        <v>105</v>
      </c>
      <c r="D603" s="3" t="s">
        <v>61</v>
      </c>
      <c r="E603" s="25" t="s">
        <v>877</v>
      </c>
      <c r="F603" s="3" t="s">
        <v>150</v>
      </c>
      <c r="G603" s="3" t="s">
        <v>63</v>
      </c>
      <c r="K603" s="13" t="n">
        <f aca="false">_xlfn.IFS(F603="","", F603=C603,1, F603&lt;&gt;C603,0)</f>
        <v>0</v>
      </c>
      <c r="L603" s="13" t="n">
        <f aca="false">_xlfn.IFS(G603="","", G603=D603,1, G603&lt;&gt;D603,0)</f>
        <v>0</v>
      </c>
    </row>
    <row r="604" customFormat="false" ht="13.8" hidden="false" customHeight="false" outlineLevel="0" collapsed="false">
      <c r="A604" s="3" t="n">
        <v>605</v>
      </c>
      <c r="B604" s="3" t="s">
        <v>817</v>
      </c>
      <c r="C604" s="3" t="s">
        <v>105</v>
      </c>
      <c r="D604" s="3" t="s">
        <v>61</v>
      </c>
      <c r="E604" s="25" t="s">
        <v>877</v>
      </c>
      <c r="F604" s="3" t="s">
        <v>150</v>
      </c>
      <c r="G604" s="3" t="s">
        <v>63</v>
      </c>
      <c r="K604" s="13" t="n">
        <f aca="false">_xlfn.IFS(F604="","", F604=C604,1, F604&lt;&gt;C604,0)</f>
        <v>0</v>
      </c>
      <c r="L604" s="13" t="n">
        <f aca="false">_xlfn.IFS(G604="","", G604=D604,1, G604&lt;&gt;D604,0)</f>
        <v>0</v>
      </c>
    </row>
    <row r="605" customFormat="false" ht="13.8" hidden="false" customHeight="false" outlineLevel="0" collapsed="false">
      <c r="A605" s="3" t="n">
        <v>606</v>
      </c>
      <c r="B605" s="3" t="s">
        <v>675</v>
      </c>
      <c r="C605" s="3" t="s">
        <v>105</v>
      </c>
      <c r="D605" s="3" t="s">
        <v>77</v>
      </c>
      <c r="E605" s="25" t="s">
        <v>877</v>
      </c>
      <c r="F605" s="3" t="s">
        <v>879</v>
      </c>
      <c r="G605" s="3"/>
      <c r="K605" s="13" t="n">
        <f aca="false">_xlfn.IFS(F605="","", F605=C605,1, F605&lt;&gt;C605,0)</f>
        <v>0</v>
      </c>
      <c r="L605" s="13" t="str">
        <f aca="false">_xlfn.IFS(G605="","", G605=D605,1, G605&lt;&gt;D605,0)</f>
        <v/>
      </c>
    </row>
    <row r="606" customFormat="false" ht="13.8" hidden="false" customHeight="false" outlineLevel="0" collapsed="false">
      <c r="A606" s="3" t="n">
        <v>607</v>
      </c>
      <c r="B606" s="3" t="s">
        <v>364</v>
      </c>
      <c r="C606" s="3" t="s">
        <v>105</v>
      </c>
      <c r="D606" s="3" t="s">
        <v>61</v>
      </c>
      <c r="E606" s="25" t="s">
        <v>877</v>
      </c>
      <c r="F606" s="3" t="s">
        <v>150</v>
      </c>
      <c r="G606" s="3" t="s">
        <v>883</v>
      </c>
      <c r="K606" s="13" t="n">
        <f aca="false">_xlfn.IFS(F606="","", F606=C606,1, F606&lt;&gt;C606,0)</f>
        <v>0</v>
      </c>
      <c r="L606" s="13" t="n">
        <f aca="false">_xlfn.IFS(G606="","", G606=D606,1, G606&lt;&gt;D606,0)</f>
        <v>0</v>
      </c>
    </row>
    <row r="607" customFormat="false" ht="13.8" hidden="false" customHeight="false" outlineLevel="0" collapsed="false">
      <c r="A607" s="3" t="n">
        <v>608</v>
      </c>
      <c r="B607" s="3" t="s">
        <v>476</v>
      </c>
      <c r="C607" s="3" t="s">
        <v>105</v>
      </c>
      <c r="D607" s="3" t="s">
        <v>61</v>
      </c>
      <c r="E607" s="25" t="s">
        <v>877</v>
      </c>
      <c r="F607" s="3" t="s">
        <v>150</v>
      </c>
      <c r="G607" s="3" t="s">
        <v>83</v>
      </c>
      <c r="K607" s="13" t="n">
        <f aca="false">_xlfn.IFS(F607="","", F607=C607,1, F607&lt;&gt;C607,0)</f>
        <v>0</v>
      </c>
      <c r="L607" s="13" t="n">
        <f aca="false">_xlfn.IFS(G607="","", G607=D607,1, G607&lt;&gt;D607,0)</f>
        <v>0</v>
      </c>
    </row>
    <row r="608" customFormat="false" ht="13.8" hidden="false" customHeight="false" outlineLevel="0" collapsed="false">
      <c r="A608" s="3" t="n">
        <v>609</v>
      </c>
      <c r="B608" s="3" t="s">
        <v>260</v>
      </c>
      <c r="C608" s="3" t="s">
        <v>105</v>
      </c>
      <c r="D608" s="3" t="s">
        <v>77</v>
      </c>
      <c r="E608" s="25" t="s">
        <v>874</v>
      </c>
      <c r="F608" s="3" t="s">
        <v>105</v>
      </c>
      <c r="G608" s="3" t="s">
        <v>886</v>
      </c>
      <c r="K608" s="13" t="n">
        <f aca="false">_xlfn.IFS(F608="","", F608=C608,1, F608&lt;&gt;C608,0)</f>
        <v>1</v>
      </c>
      <c r="L608" s="13" t="n">
        <f aca="false">_xlfn.IFS(G608="","", G608=D608,1, G608&lt;&gt;D608,0)</f>
        <v>0</v>
      </c>
    </row>
    <row r="609" customFormat="false" ht="13.8" hidden="false" customHeight="false" outlineLevel="0" collapsed="false">
      <c r="A609" s="3" t="n">
        <v>610</v>
      </c>
      <c r="B609" s="3" t="s">
        <v>596</v>
      </c>
      <c r="C609" s="3" t="s">
        <v>105</v>
      </c>
      <c r="D609" s="3" t="s">
        <v>55</v>
      </c>
      <c r="E609" s="25" t="s">
        <v>877</v>
      </c>
      <c r="F609" s="3" t="s">
        <v>150</v>
      </c>
      <c r="G609" s="3" t="s">
        <v>83</v>
      </c>
      <c r="K609" s="13" t="n">
        <f aca="false">_xlfn.IFS(F609="","", F609=C609,1, F609&lt;&gt;C609,0)</f>
        <v>0</v>
      </c>
      <c r="L609" s="13" t="n">
        <f aca="false">_xlfn.IFS(G609="","", G609=D609,1, G609&lt;&gt;D609,0)</f>
        <v>0</v>
      </c>
    </row>
    <row r="610" customFormat="false" ht="13.8" hidden="false" customHeight="false" outlineLevel="0" collapsed="false">
      <c r="A610" s="3" t="n">
        <v>611</v>
      </c>
      <c r="B610" s="3" t="s">
        <v>307</v>
      </c>
      <c r="C610" s="3" t="s">
        <v>150</v>
      </c>
      <c r="D610" s="3" t="s">
        <v>83</v>
      </c>
      <c r="E610" s="25" t="s">
        <v>877</v>
      </c>
      <c r="F610" s="3" t="s">
        <v>879</v>
      </c>
      <c r="G610" s="3"/>
      <c r="K610" s="13" t="n">
        <f aca="false">_xlfn.IFS(F610="","", F610=C610,1, F610&lt;&gt;C610,0)</f>
        <v>0</v>
      </c>
      <c r="L610" s="13" t="str">
        <f aca="false">_xlfn.IFS(G610="","", G610=D610,1, G610&lt;&gt;D610,0)</f>
        <v/>
      </c>
    </row>
    <row r="611" customFormat="false" ht="13.8" hidden="false" customHeight="false" outlineLevel="0" collapsed="false">
      <c r="A611" s="3" t="n">
        <v>612</v>
      </c>
      <c r="B611" s="3" t="s">
        <v>557</v>
      </c>
      <c r="C611" s="3" t="s">
        <v>105</v>
      </c>
      <c r="D611" s="3" t="s">
        <v>61</v>
      </c>
      <c r="E611" s="25" t="s">
        <v>874</v>
      </c>
      <c r="F611" s="3" t="s">
        <v>105</v>
      </c>
      <c r="G611" s="3" t="s">
        <v>61</v>
      </c>
      <c r="K611" s="13" t="n">
        <f aca="false">_xlfn.IFS(F611="","", F611=C611,1, F611&lt;&gt;C611,0)</f>
        <v>1</v>
      </c>
      <c r="L611" s="13" t="n">
        <f aca="false">_xlfn.IFS(G611="","", G611=D611,1, G611&lt;&gt;D611,0)</f>
        <v>1</v>
      </c>
    </row>
    <row r="612" customFormat="false" ht="13.8" hidden="false" customHeight="false" outlineLevel="0" collapsed="false">
      <c r="A612" s="3" t="n">
        <v>613</v>
      </c>
      <c r="B612" s="3" t="s">
        <v>521</v>
      </c>
      <c r="C612" s="3" t="s">
        <v>143</v>
      </c>
      <c r="D612" s="3" t="s">
        <v>198</v>
      </c>
      <c r="E612" s="25" t="s">
        <v>874</v>
      </c>
      <c r="F612" s="3" t="s">
        <v>105</v>
      </c>
      <c r="G612" s="3" t="s">
        <v>61</v>
      </c>
      <c r="K612" s="13" t="n">
        <f aca="false">_xlfn.IFS(F612="","", F612=C612,1, F612&lt;&gt;C612,0)</f>
        <v>0</v>
      </c>
      <c r="L612" s="13" t="n">
        <f aca="false">_xlfn.IFS(G612="","", G612=D612,1, G612&lt;&gt;D612,0)</f>
        <v>0</v>
      </c>
    </row>
    <row r="613" customFormat="false" ht="13.8" hidden="false" customHeight="false" outlineLevel="0" collapsed="false">
      <c r="A613" s="3" t="n">
        <v>614</v>
      </c>
      <c r="B613" s="3" t="s">
        <v>595</v>
      </c>
      <c r="C613" s="3" t="s">
        <v>143</v>
      </c>
      <c r="D613" s="3" t="s">
        <v>198</v>
      </c>
      <c r="E613" s="25" t="s">
        <v>874</v>
      </c>
      <c r="F613" s="3" t="s">
        <v>105</v>
      </c>
      <c r="G613" s="3"/>
      <c r="K613" s="13" t="n">
        <f aca="false">_xlfn.IFS(F613="","", F613=C613,1, F613&lt;&gt;C613,0)</f>
        <v>0</v>
      </c>
      <c r="L613" s="13" t="str">
        <f aca="false">_xlfn.IFS(G613="","", G613=D613,1, G613&lt;&gt;D613,0)</f>
        <v/>
      </c>
    </row>
    <row r="614" customFormat="false" ht="13.8" hidden="false" customHeight="false" outlineLevel="0" collapsed="false">
      <c r="A614" s="3" t="n">
        <v>615</v>
      </c>
      <c r="B614" s="3" t="s">
        <v>427</v>
      </c>
      <c r="C614" s="3" t="s">
        <v>150</v>
      </c>
      <c r="D614" s="3" t="s">
        <v>83</v>
      </c>
      <c r="E614" s="25" t="s">
        <v>874</v>
      </c>
      <c r="F614" s="3" t="s">
        <v>105</v>
      </c>
      <c r="G614" s="3" t="s">
        <v>61</v>
      </c>
      <c r="K614" s="13" t="n">
        <f aca="false">_xlfn.IFS(F614="","", F614=C614,1, F614&lt;&gt;C614,0)</f>
        <v>0</v>
      </c>
      <c r="L614" s="13" t="n">
        <f aca="false">_xlfn.IFS(G614="","", G614=D614,1, G614&lt;&gt;D614,0)</f>
        <v>0</v>
      </c>
    </row>
    <row r="615" customFormat="false" ht="13.8" hidden="false" customHeight="false" outlineLevel="0" collapsed="false">
      <c r="A615" s="3" t="n">
        <v>616</v>
      </c>
      <c r="B615" s="3" t="s">
        <v>849</v>
      </c>
      <c r="C615" s="3" t="s">
        <v>105</v>
      </c>
      <c r="D615" s="3" t="s">
        <v>77</v>
      </c>
      <c r="E615" s="25" t="s">
        <v>874</v>
      </c>
      <c r="F615" s="3" t="s">
        <v>105</v>
      </c>
      <c r="G615" s="3"/>
      <c r="K615" s="13" t="n">
        <f aca="false">_xlfn.IFS(F615="","", F615=C615,1, F615&lt;&gt;C615,0)</f>
        <v>1</v>
      </c>
      <c r="L615" s="13" t="str">
        <f aca="false">_xlfn.IFS(G615="","", G615=D615,1, G615&lt;&gt;D615,0)</f>
        <v/>
      </c>
    </row>
    <row r="616" customFormat="false" ht="13.8" hidden="false" customHeight="false" outlineLevel="0" collapsed="false">
      <c r="A616" s="3" t="n">
        <v>617</v>
      </c>
      <c r="B616" s="3" t="s">
        <v>648</v>
      </c>
      <c r="C616" s="3" t="s">
        <v>150</v>
      </c>
      <c r="D616" s="3" t="s">
        <v>83</v>
      </c>
      <c r="E616" s="25" t="s">
        <v>877</v>
      </c>
      <c r="F616" s="3" t="s">
        <v>150</v>
      </c>
      <c r="G616" s="3" t="s">
        <v>883</v>
      </c>
      <c r="K616" s="13" t="n">
        <f aca="false">_xlfn.IFS(F616="","", F616=C616,1, F616&lt;&gt;C616,0)</f>
        <v>1</v>
      </c>
      <c r="L616" s="13" t="n">
        <f aca="false">_xlfn.IFS(G616="","", G616=D616,1, G616&lt;&gt;D616,0)</f>
        <v>0</v>
      </c>
    </row>
    <row r="617" customFormat="false" ht="13.8" hidden="false" customHeight="false" outlineLevel="0" collapsed="false">
      <c r="A617" s="3" t="n">
        <v>618</v>
      </c>
      <c r="B617" s="3" t="s">
        <v>604</v>
      </c>
      <c r="C617" s="3" t="s">
        <v>105</v>
      </c>
      <c r="D617" s="3" t="s">
        <v>61</v>
      </c>
      <c r="E617" s="25" t="s">
        <v>874</v>
      </c>
      <c r="F617" s="3" t="s">
        <v>105</v>
      </c>
      <c r="G617" s="3"/>
      <c r="K617" s="13" t="n">
        <f aca="false">_xlfn.IFS(F617="","", F617=C617,1, F617&lt;&gt;C617,0)</f>
        <v>1</v>
      </c>
      <c r="L617" s="13" t="str">
        <f aca="false">_xlfn.IFS(G617="","", G617=D617,1, G617&lt;&gt;D617,0)</f>
        <v/>
      </c>
    </row>
    <row r="618" customFormat="false" ht="13.8" hidden="false" customHeight="false" outlineLevel="0" collapsed="false">
      <c r="A618" s="3" t="n">
        <v>619</v>
      </c>
      <c r="B618" s="3" t="s">
        <v>584</v>
      </c>
      <c r="C618" s="3" t="s">
        <v>105</v>
      </c>
      <c r="D618" s="3" t="s">
        <v>77</v>
      </c>
      <c r="E618" s="25" t="s">
        <v>877</v>
      </c>
      <c r="F618" s="3" t="s">
        <v>150</v>
      </c>
      <c r="G618" s="3" t="s">
        <v>63</v>
      </c>
      <c r="K618" s="13" t="n">
        <f aca="false">_xlfn.IFS(F618="","", F618=C618,1, F618&lt;&gt;C618,0)</f>
        <v>0</v>
      </c>
      <c r="L618" s="13" t="n">
        <f aca="false">_xlfn.IFS(G618="","", G618=D618,1, G618&lt;&gt;D618,0)</f>
        <v>0</v>
      </c>
    </row>
    <row r="619" customFormat="false" ht="13.8" hidden="false" customHeight="false" outlineLevel="0" collapsed="false">
      <c r="A619" s="3" t="n">
        <v>620</v>
      </c>
      <c r="B619" s="3" t="s">
        <v>587</v>
      </c>
      <c r="C619" s="3" t="s">
        <v>105</v>
      </c>
      <c r="D619" s="3" t="s">
        <v>77</v>
      </c>
      <c r="E619" s="25" t="s">
        <v>874</v>
      </c>
      <c r="F619" s="3" t="s">
        <v>105</v>
      </c>
      <c r="G619" s="3" t="s">
        <v>61</v>
      </c>
      <c r="K619" s="13" t="n">
        <f aca="false">_xlfn.IFS(F619="","", F619=C619,1, F619&lt;&gt;C619,0)</f>
        <v>1</v>
      </c>
      <c r="L619" s="13" t="n">
        <f aca="false">_xlfn.IFS(G619="","", G619=D619,1, G619&lt;&gt;D619,0)</f>
        <v>0</v>
      </c>
    </row>
    <row r="620" customFormat="false" ht="13.8" hidden="false" customHeight="false" outlineLevel="0" collapsed="false">
      <c r="A620" s="3" t="n">
        <v>621</v>
      </c>
      <c r="B620" s="3" t="s">
        <v>859</v>
      </c>
      <c r="C620" s="3" t="s">
        <v>150</v>
      </c>
      <c r="D620" s="3" t="s">
        <v>254</v>
      </c>
      <c r="E620" s="25" t="s">
        <v>874</v>
      </c>
      <c r="F620" s="3" t="s">
        <v>105</v>
      </c>
      <c r="G620" s="3" t="s">
        <v>61</v>
      </c>
      <c r="K620" s="13" t="n">
        <f aca="false">_xlfn.IFS(F620="","", F620=C620,1, F620&lt;&gt;C620,0)</f>
        <v>0</v>
      </c>
      <c r="L620" s="13" t="n">
        <f aca="false">_xlfn.IFS(G620="","", G620=D620,1, G620&lt;&gt;D620,0)</f>
        <v>0</v>
      </c>
    </row>
    <row r="621" customFormat="false" ht="13.8" hidden="false" customHeight="false" outlineLevel="0" collapsed="false">
      <c r="A621" s="3" t="n">
        <v>622</v>
      </c>
      <c r="B621" s="3" t="s">
        <v>773</v>
      </c>
      <c r="C621" s="3" t="s">
        <v>150</v>
      </c>
      <c r="D621" s="3" t="s">
        <v>75</v>
      </c>
      <c r="E621" s="25" t="s">
        <v>878</v>
      </c>
      <c r="F621" s="3"/>
      <c r="G621" s="3"/>
      <c r="K621" s="13" t="str">
        <f aca="false">_xlfn.IFS(F621="","", F621=C621,1, F621&lt;&gt;C621,0)</f>
        <v/>
      </c>
      <c r="L621" s="13" t="str">
        <f aca="false">_xlfn.IFS(G621="","", G621=D621,1, G621&lt;&gt;D621,0)</f>
        <v/>
      </c>
    </row>
    <row r="622" customFormat="false" ht="13.8" hidden="false" customHeight="false" outlineLevel="0" collapsed="false">
      <c r="A622" s="3" t="n">
        <v>623</v>
      </c>
      <c r="B622" s="3" t="s">
        <v>475</v>
      </c>
      <c r="C622" s="3" t="s">
        <v>105</v>
      </c>
      <c r="D622" s="3" t="s">
        <v>61</v>
      </c>
      <c r="E622" s="25" t="s">
        <v>874</v>
      </c>
      <c r="F622" s="3" t="s">
        <v>105</v>
      </c>
      <c r="G622" s="3" t="s">
        <v>886</v>
      </c>
      <c r="K622" s="13" t="n">
        <f aca="false">_xlfn.IFS(F622="","", F622=C622,1, F622&lt;&gt;C622,0)</f>
        <v>1</v>
      </c>
      <c r="L622" s="13" t="n">
        <f aca="false">_xlfn.IFS(G622="","", G622=D622,1, G622&lt;&gt;D622,0)</f>
        <v>0</v>
      </c>
    </row>
    <row r="623" customFormat="false" ht="13.8" hidden="false" customHeight="false" outlineLevel="0" collapsed="false">
      <c r="A623" s="3" t="n">
        <v>624</v>
      </c>
      <c r="B623" s="3" t="s">
        <v>409</v>
      </c>
      <c r="C623" s="3" t="s">
        <v>143</v>
      </c>
      <c r="D623" s="3" t="s">
        <v>256</v>
      </c>
      <c r="E623" s="25" t="s">
        <v>874</v>
      </c>
      <c r="F623" s="3" t="s">
        <v>105</v>
      </c>
      <c r="G623" s="3" t="s">
        <v>61</v>
      </c>
      <c r="K623" s="13" t="n">
        <f aca="false">_xlfn.IFS(F623="","", F623=C623,1, F623&lt;&gt;C623,0)</f>
        <v>0</v>
      </c>
      <c r="L623" s="13" t="n">
        <f aca="false">_xlfn.IFS(G623="","", G623=D623,1, G623&lt;&gt;D623,0)</f>
        <v>0</v>
      </c>
    </row>
    <row r="624" customFormat="false" ht="13.8" hidden="false" customHeight="false" outlineLevel="0" collapsed="false">
      <c r="A624" s="3" t="n">
        <v>625</v>
      </c>
      <c r="B624" s="3" t="s">
        <v>261</v>
      </c>
      <c r="C624" s="3" t="s">
        <v>150</v>
      </c>
      <c r="D624" s="3" t="s">
        <v>83</v>
      </c>
      <c r="E624" s="25" t="s">
        <v>874</v>
      </c>
      <c r="F624" s="3" t="s">
        <v>105</v>
      </c>
      <c r="G624" s="3" t="s">
        <v>61</v>
      </c>
      <c r="K624" s="13" t="n">
        <f aca="false">_xlfn.IFS(F624="","", F624=C624,1, F624&lt;&gt;C624,0)</f>
        <v>0</v>
      </c>
      <c r="L624" s="13" t="n">
        <f aca="false">_xlfn.IFS(G624="","", G624=D624,1, G624&lt;&gt;D624,0)</f>
        <v>0</v>
      </c>
    </row>
    <row r="625" customFormat="false" ht="13.8" hidden="false" customHeight="false" outlineLevel="0" collapsed="false">
      <c r="A625" s="3" t="n">
        <v>626</v>
      </c>
      <c r="B625" s="3" t="s">
        <v>714</v>
      </c>
      <c r="C625" s="3" t="s">
        <v>105</v>
      </c>
      <c r="D625" s="3" t="s">
        <v>55</v>
      </c>
      <c r="E625" s="25" t="s">
        <v>877</v>
      </c>
      <c r="F625" s="3" t="s">
        <v>150</v>
      </c>
      <c r="G625" s="3" t="s">
        <v>63</v>
      </c>
      <c r="K625" s="13" t="n">
        <f aca="false">_xlfn.IFS(F625="","", F625=C625,1, F625&lt;&gt;C625,0)</f>
        <v>0</v>
      </c>
      <c r="L625" s="13" t="n">
        <f aca="false">_xlfn.IFS(G625="","", G625=D625,1, G625&lt;&gt;D625,0)</f>
        <v>0</v>
      </c>
    </row>
    <row r="626" customFormat="false" ht="13.8" hidden="false" customHeight="false" outlineLevel="0" collapsed="false">
      <c r="A626" s="3" t="n">
        <v>627</v>
      </c>
      <c r="B626" s="3" t="s">
        <v>862</v>
      </c>
      <c r="C626" s="3" t="s">
        <v>105</v>
      </c>
      <c r="D626" s="3" t="s">
        <v>61</v>
      </c>
      <c r="E626" s="25" t="s">
        <v>877</v>
      </c>
      <c r="F626" s="3" t="s">
        <v>150</v>
      </c>
      <c r="G626" s="3" t="s">
        <v>883</v>
      </c>
      <c r="K626" s="13" t="n">
        <f aca="false">_xlfn.IFS(F626="","", F626=C626,1, F626&lt;&gt;C626,0)</f>
        <v>0</v>
      </c>
      <c r="L626" s="13" t="n">
        <f aca="false">_xlfn.IFS(G626="","", G626=D626,1, G626&lt;&gt;D626,0)</f>
        <v>0</v>
      </c>
    </row>
    <row r="627" customFormat="false" ht="13.8" hidden="false" customHeight="false" outlineLevel="0" collapsed="false">
      <c r="A627" s="3" t="n">
        <v>628</v>
      </c>
      <c r="B627" s="3" t="s">
        <v>868</v>
      </c>
      <c r="C627" s="3" t="s">
        <v>105</v>
      </c>
      <c r="D627" s="3" t="s">
        <v>77</v>
      </c>
      <c r="E627" s="25" t="s">
        <v>877</v>
      </c>
      <c r="F627" s="3" t="s">
        <v>150</v>
      </c>
      <c r="G627" s="3" t="s">
        <v>883</v>
      </c>
      <c r="K627" s="13" t="n">
        <f aca="false">_xlfn.IFS(F627="","", F627=C627,1, F627&lt;&gt;C627,0)</f>
        <v>0</v>
      </c>
      <c r="L627" s="13" t="n">
        <f aca="false">_xlfn.IFS(G627="","", G627=D627,1, G627&lt;&gt;D627,0)</f>
        <v>0</v>
      </c>
    </row>
    <row r="628" customFormat="false" ht="13.8" hidden="false" customHeight="false" outlineLevel="0" collapsed="false">
      <c r="A628" s="3" t="n">
        <v>629</v>
      </c>
      <c r="B628" s="3" t="s">
        <v>341</v>
      </c>
      <c r="C628" s="3" t="s">
        <v>105</v>
      </c>
      <c r="D628" s="3" t="s">
        <v>77</v>
      </c>
      <c r="E628" s="25" t="s">
        <v>877</v>
      </c>
      <c r="F628" s="3" t="s">
        <v>150</v>
      </c>
      <c r="G628" s="3" t="s">
        <v>884</v>
      </c>
      <c r="K628" s="13" t="n">
        <f aca="false">_xlfn.IFS(F628="","", F628=C628,1, F628&lt;&gt;C628,0)</f>
        <v>0</v>
      </c>
      <c r="L628" s="13" t="n">
        <f aca="false">_xlfn.IFS(G628="","", G628=D628,1, G628&lt;&gt;D628,0)</f>
        <v>0</v>
      </c>
    </row>
    <row r="629" customFormat="false" ht="13.8" hidden="false" customHeight="false" outlineLevel="0" collapsed="false">
      <c r="A629" s="3" t="n">
        <v>630</v>
      </c>
      <c r="B629" s="3" t="s">
        <v>581</v>
      </c>
      <c r="C629" s="3" t="s">
        <v>105</v>
      </c>
      <c r="D629" s="3" t="s">
        <v>61</v>
      </c>
      <c r="E629" s="25" t="s">
        <v>877</v>
      </c>
      <c r="F629" s="3" t="s">
        <v>879</v>
      </c>
      <c r="G629" s="3"/>
      <c r="K629" s="13" t="n">
        <f aca="false">_xlfn.IFS(F629="","", F629=C629,1, F629&lt;&gt;C629,0)</f>
        <v>0</v>
      </c>
      <c r="L629" s="13" t="str">
        <f aca="false">_xlfn.IFS(G629="","", G629=D629,1, G629&lt;&gt;D629,0)</f>
        <v/>
      </c>
    </row>
    <row r="630" customFormat="false" ht="13.8" hidden="false" customHeight="false" outlineLevel="0" collapsed="false">
      <c r="A630" s="3" t="n">
        <v>631</v>
      </c>
      <c r="B630" s="3" t="s">
        <v>575</v>
      </c>
      <c r="C630" s="3" t="s">
        <v>105</v>
      </c>
      <c r="D630" s="3" t="s">
        <v>61</v>
      </c>
      <c r="E630" s="25" t="s">
        <v>878</v>
      </c>
      <c r="F630" s="3"/>
      <c r="G630" s="3"/>
      <c r="K630" s="13" t="str">
        <f aca="false">_xlfn.IFS(F630="","", F630=C630,1, F630&lt;&gt;C630,0)</f>
        <v/>
      </c>
      <c r="L630" s="13" t="str">
        <f aca="false">_xlfn.IFS(G630="","", G630=D630,1, G630&lt;&gt;D630,0)</f>
        <v/>
      </c>
    </row>
    <row r="631" customFormat="false" ht="13.8" hidden="false" customHeight="false" outlineLevel="0" collapsed="false">
      <c r="A631" s="3" t="n">
        <v>632</v>
      </c>
      <c r="B631" s="3" t="s">
        <v>397</v>
      </c>
      <c r="C631" s="3" t="s">
        <v>143</v>
      </c>
      <c r="D631" s="3" t="s">
        <v>198</v>
      </c>
      <c r="E631" s="25" t="s">
        <v>877</v>
      </c>
      <c r="F631" s="3" t="s">
        <v>150</v>
      </c>
      <c r="G631" s="3" t="s">
        <v>883</v>
      </c>
      <c r="K631" s="13" t="n">
        <f aca="false">_xlfn.IFS(F631="","", F631=C631,1, F631&lt;&gt;C631,0)</f>
        <v>0</v>
      </c>
      <c r="L631" s="13" t="n">
        <f aca="false">_xlfn.IFS(G631="","", G631=D631,1, G631&lt;&gt;D631,0)</f>
        <v>0</v>
      </c>
    </row>
    <row r="632" customFormat="false" ht="13.8" hidden="false" customHeight="false" outlineLevel="0" collapsed="false">
      <c r="A632" s="3" t="n">
        <v>633</v>
      </c>
      <c r="B632" s="3" t="s">
        <v>262</v>
      </c>
      <c r="C632" s="3" t="s">
        <v>150</v>
      </c>
      <c r="D632" s="3" t="s">
        <v>75</v>
      </c>
      <c r="E632" s="25" t="s">
        <v>877</v>
      </c>
      <c r="F632" s="3" t="s">
        <v>150</v>
      </c>
      <c r="G632" s="3" t="s">
        <v>83</v>
      </c>
      <c r="K632" s="13" t="n">
        <f aca="false">_xlfn.IFS(F632="","", F632=C632,1, F632&lt;&gt;C632,0)</f>
        <v>1</v>
      </c>
      <c r="L632" s="13" t="n">
        <f aca="false">_xlfn.IFS(G632="","", G632=D632,1, G632&lt;&gt;D632,0)</f>
        <v>0</v>
      </c>
    </row>
    <row r="633" customFormat="false" ht="13.8" hidden="false" customHeight="false" outlineLevel="0" collapsed="false">
      <c r="A633" s="3" t="n">
        <v>634</v>
      </c>
      <c r="B633" s="3" t="s">
        <v>331</v>
      </c>
      <c r="C633" s="3" t="s">
        <v>150</v>
      </c>
      <c r="D633" s="3" t="s">
        <v>83</v>
      </c>
      <c r="E633" s="25" t="s">
        <v>874</v>
      </c>
      <c r="F633" s="3" t="s">
        <v>105</v>
      </c>
      <c r="G633" s="3" t="s">
        <v>886</v>
      </c>
      <c r="K633" s="13" t="n">
        <f aca="false">_xlfn.IFS(F633="","", F633=C633,1, F633&lt;&gt;C633,0)</f>
        <v>0</v>
      </c>
      <c r="L633" s="13" t="n">
        <f aca="false">_xlfn.IFS(G633="","", G633=D633,1, G633&lt;&gt;D633,0)</f>
        <v>0</v>
      </c>
    </row>
    <row r="634" customFormat="false" ht="13.8" hidden="false" customHeight="false" outlineLevel="0" collapsed="false">
      <c r="A634" s="3" t="n">
        <v>635</v>
      </c>
      <c r="B634" s="3" t="s">
        <v>352</v>
      </c>
      <c r="C634" s="3" t="s">
        <v>105</v>
      </c>
      <c r="D634" s="3" t="s">
        <v>61</v>
      </c>
      <c r="E634" s="25" t="s">
        <v>878</v>
      </c>
      <c r="F634" s="3"/>
      <c r="G634" s="3"/>
      <c r="K634" s="13" t="str">
        <f aca="false">_xlfn.IFS(F634="","", F634=C634,1, F634&lt;&gt;C634,0)</f>
        <v/>
      </c>
      <c r="L634" s="13" t="str">
        <f aca="false">_xlfn.IFS(G634="","", G634=D634,1, G634&lt;&gt;D634,0)</f>
        <v/>
      </c>
    </row>
    <row r="635" customFormat="false" ht="13.8" hidden="false" customHeight="false" outlineLevel="0" collapsed="false">
      <c r="A635" s="3" t="n">
        <v>636</v>
      </c>
      <c r="B635" s="3" t="s">
        <v>621</v>
      </c>
      <c r="C635" s="3" t="s">
        <v>143</v>
      </c>
      <c r="D635" s="3" t="s">
        <v>288</v>
      </c>
      <c r="E635" s="25" t="s">
        <v>877</v>
      </c>
      <c r="F635" s="3" t="s">
        <v>150</v>
      </c>
      <c r="G635" s="3" t="s">
        <v>63</v>
      </c>
      <c r="K635" s="13" t="n">
        <f aca="false">_xlfn.IFS(F635="","", F635=C635,1, F635&lt;&gt;C635,0)</f>
        <v>0</v>
      </c>
      <c r="L635" s="13" t="n">
        <f aca="false">_xlfn.IFS(G635="","", G635=D635,1, G635&lt;&gt;D635,0)</f>
        <v>0</v>
      </c>
    </row>
    <row r="636" customFormat="false" ht="13.8" hidden="false" customHeight="false" outlineLevel="0" collapsed="false">
      <c r="A636" s="3" t="n">
        <v>637</v>
      </c>
      <c r="B636" s="3" t="s">
        <v>542</v>
      </c>
      <c r="C636" s="3" t="s">
        <v>105</v>
      </c>
      <c r="D636" s="3" t="s">
        <v>61</v>
      </c>
      <c r="E636" s="25" t="s">
        <v>877</v>
      </c>
      <c r="F636" s="3" t="s">
        <v>150</v>
      </c>
      <c r="G636" s="3" t="s">
        <v>83</v>
      </c>
      <c r="K636" s="13" t="n">
        <f aca="false">_xlfn.IFS(F636="","", F636=C636,1, F636&lt;&gt;C636,0)</f>
        <v>0</v>
      </c>
      <c r="L636" s="13" t="n">
        <f aca="false">_xlfn.IFS(G636="","", G636=D636,1, G636&lt;&gt;D636,0)</f>
        <v>0</v>
      </c>
    </row>
    <row r="637" customFormat="false" ht="13.8" hidden="false" customHeight="false" outlineLevel="0" collapsed="false">
      <c r="A637" s="3" t="n">
        <v>638</v>
      </c>
      <c r="B637" s="3" t="s">
        <v>613</v>
      </c>
      <c r="C637" s="3" t="s">
        <v>150</v>
      </c>
      <c r="D637" s="3" t="s">
        <v>254</v>
      </c>
      <c r="E637" s="25" t="s">
        <v>877</v>
      </c>
      <c r="F637" s="3" t="s">
        <v>150</v>
      </c>
      <c r="G637" s="3" t="s">
        <v>85</v>
      </c>
      <c r="K637" s="13" t="n">
        <f aca="false">_xlfn.IFS(F637="","", F637=C637,1, F637&lt;&gt;C637,0)</f>
        <v>1</v>
      </c>
      <c r="L637" s="13" t="n">
        <f aca="false">_xlfn.IFS(G637="","", G637=D637,1, G637&lt;&gt;D637,0)</f>
        <v>0</v>
      </c>
    </row>
    <row r="638" customFormat="false" ht="13.8" hidden="false" customHeight="false" outlineLevel="0" collapsed="false">
      <c r="A638" s="3" t="n">
        <v>639</v>
      </c>
      <c r="B638" s="3" t="s">
        <v>492</v>
      </c>
      <c r="C638" s="3" t="s">
        <v>105</v>
      </c>
      <c r="D638" s="3" t="s">
        <v>55</v>
      </c>
      <c r="E638" s="25" t="s">
        <v>877</v>
      </c>
      <c r="F638" s="3" t="s">
        <v>885</v>
      </c>
      <c r="G638" s="3"/>
      <c r="K638" s="13" t="n">
        <f aca="false">_xlfn.IFS(F638="","", F638=C638,1, F638&lt;&gt;C638,0)</f>
        <v>0</v>
      </c>
      <c r="L638" s="13" t="str">
        <f aca="false">_xlfn.IFS(G638="","", G638=D638,1, G638&lt;&gt;D638,0)</f>
        <v/>
      </c>
    </row>
    <row r="639" customFormat="false" ht="13.8" hidden="false" customHeight="false" outlineLevel="0" collapsed="false">
      <c r="A639" s="3" t="n">
        <v>640</v>
      </c>
      <c r="B639" s="3" t="s">
        <v>562</v>
      </c>
      <c r="C639" s="3" t="s">
        <v>105</v>
      </c>
      <c r="D639" s="3" t="s">
        <v>61</v>
      </c>
      <c r="E639" s="25" t="s">
        <v>877</v>
      </c>
      <c r="F639" s="3" t="s">
        <v>885</v>
      </c>
      <c r="G639" s="3"/>
      <c r="K639" s="13" t="n">
        <f aca="false">_xlfn.IFS(F639="","", F639=C639,1, F639&lt;&gt;C639,0)</f>
        <v>0</v>
      </c>
      <c r="L639" s="13" t="str">
        <f aca="false">_xlfn.IFS(G639="","", G639=D639,1, G639&lt;&gt;D639,0)</f>
        <v/>
      </c>
    </row>
    <row r="640" customFormat="false" ht="13.8" hidden="false" customHeight="false" outlineLevel="0" collapsed="false">
      <c r="A640" s="3" t="n">
        <v>641</v>
      </c>
      <c r="B640" s="3" t="s">
        <v>627</v>
      </c>
      <c r="C640" s="3" t="s">
        <v>105</v>
      </c>
      <c r="D640" s="3" t="s">
        <v>61</v>
      </c>
      <c r="E640" s="25" t="s">
        <v>874</v>
      </c>
      <c r="F640" s="3" t="s">
        <v>105</v>
      </c>
      <c r="G640" s="3" t="s">
        <v>61</v>
      </c>
      <c r="K640" s="13" t="n">
        <f aca="false">_xlfn.IFS(F640="","", F640=C640,1, F640&lt;&gt;C640,0)</f>
        <v>1</v>
      </c>
      <c r="L640" s="13" t="n">
        <f aca="false">_xlfn.IFS(G640="","", G640=D640,1, G640&lt;&gt;D640,0)</f>
        <v>1</v>
      </c>
    </row>
    <row r="641" customFormat="false" ht="13.8" hidden="false" customHeight="false" outlineLevel="0" collapsed="false">
      <c r="A641" s="3" t="n">
        <v>642</v>
      </c>
      <c r="B641" s="3" t="s">
        <v>308</v>
      </c>
      <c r="C641" s="3" t="s">
        <v>105</v>
      </c>
      <c r="D641" s="3" t="s">
        <v>61</v>
      </c>
      <c r="E641" s="25" t="s">
        <v>874</v>
      </c>
      <c r="F641" s="3" t="s">
        <v>105</v>
      </c>
      <c r="G641" s="3" t="s">
        <v>61</v>
      </c>
      <c r="K641" s="13" t="n">
        <f aca="false">_xlfn.IFS(F641="","", F641=C641,1, F641&lt;&gt;C641,0)</f>
        <v>1</v>
      </c>
      <c r="L641" s="13" t="n">
        <f aca="false">_xlfn.IFS(G641="","", G641=D641,1, G641&lt;&gt;D641,0)</f>
        <v>1</v>
      </c>
    </row>
    <row r="642" customFormat="false" ht="13.8" hidden="false" customHeight="false" outlineLevel="0" collapsed="false">
      <c r="A642" s="3" t="n">
        <v>643</v>
      </c>
      <c r="B642" s="3" t="s">
        <v>438</v>
      </c>
      <c r="C642" s="3" t="s">
        <v>105</v>
      </c>
      <c r="D642" s="3" t="s">
        <v>61</v>
      </c>
      <c r="E642" s="25" t="s">
        <v>877</v>
      </c>
      <c r="F642" s="3" t="s">
        <v>150</v>
      </c>
      <c r="G642" s="3" t="s">
        <v>63</v>
      </c>
      <c r="K642" s="13" t="n">
        <f aca="false">_xlfn.IFS(F642="","", F642=C642,1, F642&lt;&gt;C642,0)</f>
        <v>0</v>
      </c>
      <c r="L642" s="13" t="n">
        <f aca="false">_xlfn.IFS(G642="","", G642=D642,1, G642&lt;&gt;D642,0)</f>
        <v>0</v>
      </c>
    </row>
    <row r="643" customFormat="false" ht="13.8" hidden="false" customHeight="false" outlineLevel="0" collapsed="false">
      <c r="A643" s="3" t="n">
        <v>644</v>
      </c>
      <c r="B643" s="3" t="s">
        <v>468</v>
      </c>
      <c r="C643" s="3" t="s">
        <v>105</v>
      </c>
      <c r="D643" s="3" t="s">
        <v>61</v>
      </c>
      <c r="E643" s="25" t="s">
        <v>877</v>
      </c>
      <c r="F643" s="3"/>
      <c r="G643" s="3"/>
      <c r="K643" s="13" t="str">
        <f aca="false">_xlfn.IFS(F643="","", F643=C643,1, F643&lt;&gt;C643,0)</f>
        <v/>
      </c>
      <c r="L643" s="13" t="str">
        <f aca="false">_xlfn.IFS(G643="","", G643=D643,1, G643&lt;&gt;D643,0)</f>
        <v/>
      </c>
    </row>
    <row r="644" customFormat="false" ht="13.8" hidden="false" customHeight="false" outlineLevel="0" collapsed="false">
      <c r="A644" s="3" t="n">
        <v>645</v>
      </c>
      <c r="B644" s="3" t="s">
        <v>263</v>
      </c>
      <c r="C644" s="3" t="s">
        <v>150</v>
      </c>
      <c r="D644" s="3" t="s">
        <v>254</v>
      </c>
      <c r="E644" s="25" t="s">
        <v>877</v>
      </c>
      <c r="F644" s="3" t="s">
        <v>150</v>
      </c>
      <c r="G644" s="3" t="s">
        <v>83</v>
      </c>
      <c r="K644" s="13" t="n">
        <f aca="false">_xlfn.IFS(F644="","", F644=C644,1, F644&lt;&gt;C644,0)</f>
        <v>1</v>
      </c>
      <c r="L644" s="13" t="n">
        <f aca="false">_xlfn.IFS(G644="","", G644=D644,1, G644&lt;&gt;D644,0)</f>
        <v>0</v>
      </c>
    </row>
    <row r="645" customFormat="false" ht="13.8" hidden="false" customHeight="false" outlineLevel="0" collapsed="false">
      <c r="A645" s="3" t="n">
        <v>646</v>
      </c>
      <c r="B645" s="3" t="s">
        <v>737</v>
      </c>
      <c r="C645" s="3" t="s">
        <v>150</v>
      </c>
      <c r="D645" s="3" t="s">
        <v>254</v>
      </c>
      <c r="E645" s="25" t="s">
        <v>877</v>
      </c>
      <c r="F645" s="3" t="s">
        <v>885</v>
      </c>
      <c r="G645" s="3"/>
      <c r="K645" s="13" t="n">
        <f aca="false">_xlfn.IFS(F645="","", F645=C645,1, F645&lt;&gt;C645,0)</f>
        <v>0</v>
      </c>
      <c r="L645" s="13" t="str">
        <f aca="false">_xlfn.IFS(G645="","", G645=D645,1, G645&lt;&gt;D645,0)</f>
        <v/>
      </c>
    </row>
    <row r="646" customFormat="false" ht="13.8" hidden="false" customHeight="false" outlineLevel="0" collapsed="false">
      <c r="A646" s="3" t="n">
        <v>647</v>
      </c>
      <c r="B646" s="3" t="s">
        <v>365</v>
      </c>
      <c r="C646" s="3" t="s">
        <v>143</v>
      </c>
      <c r="D646" s="3" t="s">
        <v>198</v>
      </c>
      <c r="E646" s="25" t="s">
        <v>874</v>
      </c>
      <c r="F646" s="3" t="s">
        <v>105</v>
      </c>
      <c r="G646" s="3" t="s">
        <v>61</v>
      </c>
      <c r="K646" s="13" t="n">
        <f aca="false">_xlfn.IFS(F646="","", F646=C646,1, F646&lt;&gt;C646,0)</f>
        <v>0</v>
      </c>
      <c r="L646" s="13" t="n">
        <f aca="false">_xlfn.IFS(G646="","", G646=D646,1, G646&lt;&gt;D646,0)</f>
        <v>0</v>
      </c>
    </row>
    <row r="647" customFormat="false" ht="13.8" hidden="false" customHeight="false" outlineLevel="0" collapsed="false">
      <c r="A647" s="3" t="n">
        <v>648</v>
      </c>
      <c r="B647" s="3" t="s">
        <v>493</v>
      </c>
      <c r="C647" s="3" t="s">
        <v>143</v>
      </c>
      <c r="D647" s="3" t="s">
        <v>198</v>
      </c>
      <c r="E647" s="25" t="s">
        <v>877</v>
      </c>
      <c r="F647" s="3" t="s">
        <v>150</v>
      </c>
      <c r="G647" s="3" t="s">
        <v>883</v>
      </c>
      <c r="K647" s="13" t="n">
        <f aca="false">_xlfn.IFS(F647="","", F647=C647,1, F647&lt;&gt;C647,0)</f>
        <v>0</v>
      </c>
      <c r="L647" s="13" t="n">
        <f aca="false">_xlfn.IFS(G647="","", G647=D647,1, G647&lt;&gt;D647,0)</f>
        <v>0</v>
      </c>
    </row>
    <row r="648" customFormat="false" ht="13.8" hidden="false" customHeight="false" outlineLevel="0" collapsed="false">
      <c r="A648" s="3" t="n">
        <v>649</v>
      </c>
      <c r="B648" s="3" t="s">
        <v>526</v>
      </c>
      <c r="C648" s="3" t="s">
        <v>105</v>
      </c>
      <c r="D648" s="3" t="s">
        <v>61</v>
      </c>
      <c r="E648" s="25" t="s">
        <v>877</v>
      </c>
      <c r="F648" s="3" t="s">
        <v>150</v>
      </c>
      <c r="G648" s="3" t="s">
        <v>63</v>
      </c>
      <c r="K648" s="13" t="n">
        <f aca="false">_xlfn.IFS(F648="","", F648=C648,1, F648&lt;&gt;C648,0)</f>
        <v>0</v>
      </c>
      <c r="L648" s="13" t="n">
        <f aca="false">_xlfn.IFS(G648="","", G648=D648,1, G648&lt;&gt;D648,0)</f>
        <v>0</v>
      </c>
    </row>
    <row r="649" customFormat="false" ht="13.8" hidden="false" customHeight="false" outlineLevel="0" collapsed="false">
      <c r="A649" s="3" t="n">
        <v>650</v>
      </c>
      <c r="B649" s="3" t="s">
        <v>512</v>
      </c>
      <c r="C649" s="3" t="s">
        <v>143</v>
      </c>
      <c r="D649" s="3" t="s">
        <v>198</v>
      </c>
      <c r="E649" s="25" t="s">
        <v>874</v>
      </c>
      <c r="F649" s="3" t="s">
        <v>105</v>
      </c>
      <c r="G649" s="3" t="s">
        <v>61</v>
      </c>
      <c r="K649" s="13" t="n">
        <f aca="false">_xlfn.IFS(F649="","", F649=C649,1, F649&lt;&gt;C649,0)</f>
        <v>0</v>
      </c>
      <c r="L649" s="13" t="n">
        <f aca="false">_xlfn.IFS(G649="","", G649=D649,1, G649&lt;&gt;D649,0)</f>
        <v>0</v>
      </c>
    </row>
    <row r="650" customFormat="false" ht="13.8" hidden="false" customHeight="false" outlineLevel="0" collapsed="false">
      <c r="A650" s="3" t="n">
        <v>651</v>
      </c>
      <c r="B650" s="3" t="s">
        <v>264</v>
      </c>
      <c r="C650" s="3" t="s">
        <v>105</v>
      </c>
      <c r="D650" s="3" t="s">
        <v>61</v>
      </c>
      <c r="E650" s="25" t="s">
        <v>874</v>
      </c>
      <c r="F650" s="3" t="s">
        <v>105</v>
      </c>
      <c r="G650" s="3" t="s">
        <v>61</v>
      </c>
      <c r="K650" s="13" t="n">
        <f aca="false">_xlfn.IFS(F650="","", F650=C650,1, F650&lt;&gt;C650,0)</f>
        <v>1</v>
      </c>
      <c r="L650" s="13" t="n">
        <f aca="false">_xlfn.IFS(G650="","", G650=D650,1, G650&lt;&gt;D650,0)</f>
        <v>1</v>
      </c>
    </row>
    <row r="651" customFormat="false" ht="13.8" hidden="false" customHeight="false" outlineLevel="0" collapsed="false">
      <c r="A651" s="3" t="n">
        <v>652</v>
      </c>
      <c r="B651" s="3" t="s">
        <v>462</v>
      </c>
      <c r="C651" s="3" t="s">
        <v>105</v>
      </c>
      <c r="D651" s="3" t="s">
        <v>61</v>
      </c>
      <c r="E651" s="25" t="s">
        <v>878</v>
      </c>
      <c r="F651" s="3"/>
      <c r="G651" s="3"/>
      <c r="K651" s="13" t="str">
        <f aca="false">_xlfn.IFS(F651="","", F651=C651,1, F651&lt;&gt;C651,0)</f>
        <v/>
      </c>
      <c r="L651" s="13" t="str">
        <f aca="false">_xlfn.IFS(G651="","", G651=D651,1, G651&lt;&gt;D651,0)</f>
        <v/>
      </c>
    </row>
    <row r="652" customFormat="false" ht="13.8" hidden="false" customHeight="false" outlineLevel="0" collapsed="false">
      <c r="A652" s="3" t="n">
        <v>653</v>
      </c>
      <c r="B652" s="3" t="s">
        <v>428</v>
      </c>
      <c r="C652" s="3" t="s">
        <v>143</v>
      </c>
      <c r="D652" s="3" t="s">
        <v>198</v>
      </c>
      <c r="E652" s="25" t="s">
        <v>874</v>
      </c>
      <c r="F652" s="3" t="s">
        <v>105</v>
      </c>
      <c r="G652" s="3" t="s">
        <v>61</v>
      </c>
      <c r="K652" s="13" t="n">
        <f aca="false">_xlfn.IFS(F652="","", F652=C652,1, F652&lt;&gt;C652,0)</f>
        <v>0</v>
      </c>
      <c r="L652" s="13" t="n">
        <f aca="false">_xlfn.IFS(G652="","", G652=D652,1, G652&lt;&gt;D652,0)</f>
        <v>0</v>
      </c>
    </row>
    <row r="653" customFormat="false" ht="13.8" hidden="false" customHeight="false" outlineLevel="0" collapsed="false">
      <c r="A653" s="3" t="n">
        <v>654</v>
      </c>
      <c r="B653" s="3" t="s">
        <v>431</v>
      </c>
      <c r="C653" s="3" t="s">
        <v>105</v>
      </c>
      <c r="D653" s="3" t="s">
        <v>61</v>
      </c>
      <c r="E653" s="25" t="s">
        <v>878</v>
      </c>
      <c r="F653" s="3"/>
      <c r="G653" s="3"/>
      <c r="K653" s="13" t="str">
        <f aca="false">_xlfn.IFS(F653="","", F653=C653,1, F653&lt;&gt;C653,0)</f>
        <v/>
      </c>
      <c r="L653" s="13" t="str">
        <f aca="false">_xlfn.IFS(G653="","", G653=D653,1, G653&lt;&gt;D653,0)</f>
        <v/>
      </c>
    </row>
    <row r="654" customFormat="false" ht="13.8" hidden="false" customHeight="false" outlineLevel="0" collapsed="false">
      <c r="A654" s="3" t="n">
        <v>655</v>
      </c>
      <c r="B654" s="3" t="s">
        <v>342</v>
      </c>
      <c r="C654" s="3" t="s">
        <v>105</v>
      </c>
      <c r="D654" s="3" t="s">
        <v>61</v>
      </c>
      <c r="E654" s="25" t="s">
        <v>874</v>
      </c>
      <c r="F654" s="3" t="s">
        <v>105</v>
      </c>
      <c r="G654" s="3" t="s">
        <v>61</v>
      </c>
      <c r="K654" s="13" t="n">
        <f aca="false">_xlfn.IFS(F654="","", F654=C654,1, F654&lt;&gt;C654,0)</f>
        <v>1</v>
      </c>
      <c r="L654" s="13" t="n">
        <f aca="false">_xlfn.IFS(G654="","", G654=D654,1, G654&lt;&gt;D654,0)</f>
        <v>1</v>
      </c>
    </row>
    <row r="655" customFormat="false" ht="13.8" hidden="false" customHeight="false" outlineLevel="0" collapsed="false">
      <c r="A655" s="3" t="n">
        <v>657</v>
      </c>
      <c r="B655" s="3" t="s">
        <v>366</v>
      </c>
      <c r="C655" s="3" t="s">
        <v>105</v>
      </c>
      <c r="D655" s="3" t="s">
        <v>61</v>
      </c>
      <c r="E655" s="25" t="s">
        <v>877</v>
      </c>
      <c r="F655" s="3"/>
      <c r="G655" s="3"/>
      <c r="K655" s="13" t="str">
        <f aca="false">_xlfn.IFS(F655="","", F655=C655,1, F655&lt;&gt;C655,0)</f>
        <v/>
      </c>
      <c r="L655" s="13" t="str">
        <f aca="false">_xlfn.IFS(G655="","", G655=D655,1, G655&lt;&gt;D655,0)</f>
        <v/>
      </c>
    </row>
    <row r="656" customFormat="false" ht="13.8" hidden="false" customHeight="false" outlineLevel="0" collapsed="false">
      <c r="A656" s="3" t="n">
        <v>658</v>
      </c>
      <c r="B656" s="3" t="s">
        <v>454</v>
      </c>
      <c r="C656" s="3" t="s">
        <v>105</v>
      </c>
      <c r="D656" s="3" t="s">
        <v>61</v>
      </c>
      <c r="E656" s="25" t="s">
        <v>878</v>
      </c>
      <c r="F656" s="3"/>
      <c r="G656" s="3"/>
      <c r="K656" s="13" t="str">
        <f aca="false">_xlfn.IFS(F656="","", F656=C656,1, F656&lt;&gt;C656,0)</f>
        <v/>
      </c>
      <c r="L656" s="13" t="str">
        <f aca="false">_xlfn.IFS(G656="","", G656=D656,1, G656&lt;&gt;D656,0)</f>
        <v/>
      </c>
    </row>
    <row r="657" customFormat="false" ht="13.8" hidden="false" customHeight="false" outlineLevel="0" collapsed="false">
      <c r="A657" s="3" t="n">
        <v>659</v>
      </c>
      <c r="B657" s="3" t="s">
        <v>630</v>
      </c>
      <c r="C657" s="3" t="s">
        <v>105</v>
      </c>
      <c r="D657" s="3" t="s">
        <v>77</v>
      </c>
      <c r="E657" s="25" t="s">
        <v>877</v>
      </c>
      <c r="F657" s="3" t="s">
        <v>150</v>
      </c>
      <c r="G657" s="3" t="s">
        <v>83</v>
      </c>
      <c r="K657" s="13" t="n">
        <f aca="false">_xlfn.IFS(F657="","", F657=C657,1, F657&lt;&gt;C657,0)</f>
        <v>0</v>
      </c>
      <c r="L657" s="13" t="n">
        <f aca="false">_xlfn.IFS(G657="","", G657=D657,1, G657&lt;&gt;D657,0)</f>
        <v>0</v>
      </c>
    </row>
    <row r="658" customFormat="false" ht="13.8" hidden="false" customHeight="false" outlineLevel="0" collapsed="false">
      <c r="A658" s="3" t="n">
        <v>660</v>
      </c>
      <c r="B658" s="3" t="s">
        <v>679</v>
      </c>
      <c r="C658" s="3" t="s">
        <v>105</v>
      </c>
      <c r="D658" s="3" t="s">
        <v>61</v>
      </c>
      <c r="E658" s="25" t="s">
        <v>877</v>
      </c>
      <c r="F658" s="3" t="s">
        <v>150</v>
      </c>
      <c r="G658" s="3" t="s">
        <v>63</v>
      </c>
      <c r="K658" s="13" t="n">
        <f aca="false">_xlfn.IFS(F658="","", F658=C658,1, F658&lt;&gt;C658,0)</f>
        <v>0</v>
      </c>
      <c r="L658" s="13" t="n">
        <f aca="false">_xlfn.IFS(G658="","", G658=D658,1, G658&lt;&gt;D658,0)</f>
        <v>0</v>
      </c>
    </row>
    <row r="659" customFormat="false" ht="13.8" hidden="false" customHeight="false" outlineLevel="0" collapsed="false">
      <c r="A659" s="3" t="n">
        <v>661</v>
      </c>
      <c r="B659" s="3" t="s">
        <v>265</v>
      </c>
      <c r="C659" s="3" t="s">
        <v>143</v>
      </c>
      <c r="D659" s="3" t="s">
        <v>198</v>
      </c>
      <c r="E659" s="25" t="s">
        <v>874</v>
      </c>
      <c r="F659" s="3" t="s">
        <v>105</v>
      </c>
      <c r="G659" s="3"/>
      <c r="K659" s="13" t="n">
        <f aca="false">_xlfn.IFS(F659="","", F659=C659,1, F659&lt;&gt;C659,0)</f>
        <v>0</v>
      </c>
      <c r="L659" s="13" t="str">
        <f aca="false">_xlfn.IFS(G659="","", G659=D659,1, G659&lt;&gt;D659,0)</f>
        <v/>
      </c>
    </row>
    <row r="660" customFormat="false" ht="13.8" hidden="false" customHeight="false" outlineLevel="0" collapsed="false">
      <c r="A660" s="3" t="n">
        <v>662</v>
      </c>
      <c r="B660" s="3" t="s">
        <v>266</v>
      </c>
      <c r="C660" s="3" t="s">
        <v>150</v>
      </c>
      <c r="D660" s="3" t="s">
        <v>75</v>
      </c>
      <c r="E660" s="25" t="s">
        <v>877</v>
      </c>
      <c r="F660" s="3" t="s">
        <v>150</v>
      </c>
      <c r="G660" s="3" t="s">
        <v>75</v>
      </c>
      <c r="K660" s="13" t="n">
        <f aca="false">_xlfn.IFS(F660="","", F660=C660,1, F660&lt;&gt;C660,0)</f>
        <v>1</v>
      </c>
      <c r="L660" s="13" t="n">
        <f aca="false">_xlfn.IFS(G660="","", G660=D660,1, G660&lt;&gt;D660,0)</f>
        <v>1</v>
      </c>
    </row>
    <row r="661" customFormat="false" ht="13.8" hidden="false" customHeight="false" outlineLevel="0" collapsed="false">
      <c r="A661" s="3" t="n">
        <v>663</v>
      </c>
      <c r="B661" s="3" t="s">
        <v>309</v>
      </c>
      <c r="C661" s="3" t="s">
        <v>133</v>
      </c>
      <c r="D661" s="3" t="s">
        <v>65</v>
      </c>
      <c r="E661" s="25" t="s">
        <v>881</v>
      </c>
      <c r="F661" s="3" t="s">
        <v>133</v>
      </c>
      <c r="G661" s="3" t="s">
        <v>65</v>
      </c>
      <c r="K661" s="13" t="n">
        <f aca="false">_xlfn.IFS(F661="","", F661=C661,1, F661&lt;&gt;C661,0)</f>
        <v>1</v>
      </c>
      <c r="L661" s="13" t="n">
        <f aca="false">_xlfn.IFS(G661="","", G661=D661,1, G661&lt;&gt;D661,0)</f>
        <v>1</v>
      </c>
    </row>
    <row r="662" customFormat="false" ht="13.8" hidden="false" customHeight="false" outlineLevel="0" collapsed="false">
      <c r="A662" s="3" t="n">
        <v>664</v>
      </c>
      <c r="B662" s="3" t="s">
        <v>511</v>
      </c>
      <c r="C662" s="3" t="s">
        <v>105</v>
      </c>
      <c r="D662" s="3" t="s">
        <v>61</v>
      </c>
      <c r="E662" s="25" t="s">
        <v>874</v>
      </c>
      <c r="F662" s="3" t="s">
        <v>105</v>
      </c>
      <c r="G662" s="3" t="s">
        <v>61</v>
      </c>
      <c r="K662" s="13" t="n">
        <f aca="false">_xlfn.IFS(F662="","", F662=C662,1, F662&lt;&gt;C662,0)</f>
        <v>1</v>
      </c>
      <c r="L662" s="13" t="n">
        <f aca="false">_xlfn.IFS(G662="","", G662=D662,1, G662&lt;&gt;D662,0)</f>
        <v>1</v>
      </c>
    </row>
    <row r="663" customFormat="false" ht="13.8" hidden="false" customHeight="false" outlineLevel="0" collapsed="false">
      <c r="E663" s="26"/>
    </row>
    <row r="664" customFormat="false" ht="15.75" hidden="false" customHeight="false" outlineLevel="0" collapsed="false">
      <c r="E664" s="26"/>
    </row>
    <row r="665" customFormat="false" ht="15.75" hidden="false" customHeight="false" outlineLevel="0" collapsed="false">
      <c r="E665" s="26"/>
    </row>
    <row r="666" customFormat="false" ht="15.75" hidden="false" customHeight="false" outlineLevel="0" collapsed="false">
      <c r="E666" s="26"/>
    </row>
    <row r="667" customFormat="false" ht="15.75" hidden="false" customHeight="false" outlineLevel="0" collapsed="false">
      <c r="E667" s="26"/>
    </row>
    <row r="668" customFormat="false" ht="15.75" hidden="false" customHeight="false" outlineLevel="0" collapsed="false">
      <c r="E668" s="26"/>
    </row>
    <row r="669" customFormat="false" ht="15.75" hidden="false" customHeight="false" outlineLevel="0" collapsed="false">
      <c r="E669" s="26"/>
    </row>
    <row r="670" customFormat="false" ht="15.75" hidden="false" customHeight="false" outlineLevel="0" collapsed="false">
      <c r="E670" s="26"/>
    </row>
    <row r="671" customFormat="false" ht="15.75" hidden="false" customHeight="false" outlineLevel="0" collapsed="false">
      <c r="E671" s="26"/>
    </row>
    <row r="672" customFormat="false" ht="15.75" hidden="false" customHeight="false" outlineLevel="0" collapsed="false">
      <c r="E672" s="26"/>
    </row>
    <row r="673" customFormat="false" ht="15.75" hidden="false" customHeight="false" outlineLevel="0" collapsed="false">
      <c r="E673" s="26"/>
    </row>
    <row r="674" customFormat="false" ht="15.75" hidden="false" customHeight="false" outlineLevel="0" collapsed="false">
      <c r="E674" s="26"/>
    </row>
    <row r="675" customFormat="false" ht="15.75" hidden="false" customHeight="false" outlineLevel="0" collapsed="false">
      <c r="E675" s="26"/>
    </row>
    <row r="676" customFormat="false" ht="15.75" hidden="false" customHeight="false" outlineLevel="0" collapsed="false">
      <c r="E676" s="26"/>
    </row>
    <row r="677" customFormat="false" ht="15.75" hidden="false" customHeight="false" outlineLevel="0" collapsed="false">
      <c r="E677" s="26"/>
    </row>
    <row r="678" customFormat="false" ht="15.75" hidden="false" customHeight="false" outlineLevel="0" collapsed="false">
      <c r="E678" s="26"/>
    </row>
    <row r="679" customFormat="false" ht="15.75" hidden="false" customHeight="false" outlineLevel="0" collapsed="false">
      <c r="E679" s="26"/>
    </row>
    <row r="680" customFormat="false" ht="15.75" hidden="false" customHeight="false" outlineLevel="0" collapsed="false">
      <c r="E680" s="26"/>
    </row>
    <row r="681" customFormat="false" ht="15.75" hidden="false" customHeight="false" outlineLevel="0" collapsed="false">
      <c r="E681" s="26"/>
    </row>
    <row r="682" customFormat="false" ht="15.75" hidden="false" customHeight="false" outlineLevel="0" collapsed="false">
      <c r="E682" s="26"/>
    </row>
    <row r="683" customFormat="false" ht="15.75" hidden="false" customHeight="false" outlineLevel="0" collapsed="false">
      <c r="E683" s="26"/>
    </row>
    <row r="684" customFormat="false" ht="15.75" hidden="false" customHeight="false" outlineLevel="0" collapsed="false">
      <c r="E684" s="26"/>
    </row>
    <row r="685" customFormat="false" ht="15.75" hidden="false" customHeight="false" outlineLevel="0" collapsed="false">
      <c r="E685" s="26"/>
    </row>
    <row r="686" customFormat="false" ht="15.75" hidden="false" customHeight="false" outlineLevel="0" collapsed="false">
      <c r="E686" s="26"/>
    </row>
    <row r="687" customFormat="false" ht="15.75" hidden="false" customHeight="false" outlineLevel="0" collapsed="false">
      <c r="E687" s="26"/>
    </row>
    <row r="688" customFormat="false" ht="15.75" hidden="false" customHeight="false" outlineLevel="0" collapsed="false">
      <c r="E688" s="26"/>
    </row>
    <row r="689" customFormat="false" ht="15.75" hidden="false" customHeight="false" outlineLevel="0" collapsed="false">
      <c r="E689" s="26"/>
    </row>
    <row r="690" customFormat="false" ht="15.75" hidden="false" customHeight="false" outlineLevel="0" collapsed="false">
      <c r="E690" s="26"/>
    </row>
    <row r="691" customFormat="false" ht="15.75" hidden="false" customHeight="false" outlineLevel="0" collapsed="false">
      <c r="E691" s="26"/>
    </row>
    <row r="692" customFormat="false" ht="15.75" hidden="false" customHeight="false" outlineLevel="0" collapsed="false">
      <c r="E692" s="26"/>
    </row>
    <row r="693" customFormat="false" ht="15.75" hidden="false" customHeight="false" outlineLevel="0" collapsed="false">
      <c r="E693" s="26"/>
    </row>
    <row r="694" customFormat="false" ht="15.75" hidden="false" customHeight="false" outlineLevel="0" collapsed="false">
      <c r="E694" s="26"/>
    </row>
    <row r="695" customFormat="false" ht="15.75" hidden="false" customHeight="false" outlineLevel="0" collapsed="false">
      <c r="E695" s="26"/>
    </row>
    <row r="696" customFormat="false" ht="15.75" hidden="false" customHeight="false" outlineLevel="0" collapsed="false">
      <c r="E696" s="26"/>
    </row>
    <row r="697" customFormat="false" ht="15.75" hidden="false" customHeight="false" outlineLevel="0" collapsed="false">
      <c r="E697" s="26"/>
    </row>
    <row r="698" customFormat="false" ht="15.75" hidden="false" customHeight="false" outlineLevel="0" collapsed="false">
      <c r="E698" s="26"/>
    </row>
    <row r="699" customFormat="false" ht="15.75" hidden="false" customHeight="false" outlineLevel="0" collapsed="false">
      <c r="E699" s="26"/>
    </row>
    <row r="700" customFormat="false" ht="15.75" hidden="false" customHeight="false" outlineLevel="0" collapsed="false">
      <c r="E700" s="26"/>
    </row>
    <row r="701" customFormat="false" ht="15.75" hidden="false" customHeight="false" outlineLevel="0" collapsed="false">
      <c r="E701" s="26"/>
    </row>
    <row r="702" customFormat="false" ht="15.75" hidden="false" customHeight="false" outlineLevel="0" collapsed="false">
      <c r="E702" s="26"/>
    </row>
    <row r="703" customFormat="false" ht="15.75" hidden="false" customHeight="false" outlineLevel="0" collapsed="false">
      <c r="E703" s="26"/>
    </row>
    <row r="704" customFormat="false" ht="15.75" hidden="false" customHeight="false" outlineLevel="0" collapsed="false">
      <c r="E704" s="26"/>
    </row>
    <row r="705" customFormat="false" ht="15.75" hidden="false" customHeight="false" outlineLevel="0" collapsed="false">
      <c r="E705" s="26"/>
    </row>
    <row r="706" customFormat="false" ht="15.75" hidden="false" customHeight="false" outlineLevel="0" collapsed="false">
      <c r="E706" s="26"/>
    </row>
    <row r="707" customFormat="false" ht="15.75" hidden="false" customHeight="false" outlineLevel="0" collapsed="false">
      <c r="E707" s="26"/>
    </row>
    <row r="708" customFormat="false" ht="15.75" hidden="false" customHeight="false" outlineLevel="0" collapsed="false">
      <c r="E708" s="26"/>
    </row>
    <row r="709" customFormat="false" ht="15.75" hidden="false" customHeight="false" outlineLevel="0" collapsed="false">
      <c r="E709" s="26"/>
    </row>
    <row r="710" customFormat="false" ht="15.75" hidden="false" customHeight="false" outlineLevel="0" collapsed="false">
      <c r="E710" s="26"/>
    </row>
    <row r="711" customFormat="false" ht="15.75" hidden="false" customHeight="false" outlineLevel="0" collapsed="false">
      <c r="E711" s="26"/>
    </row>
    <row r="712" customFormat="false" ht="15.75" hidden="false" customHeight="false" outlineLevel="0" collapsed="false">
      <c r="E712" s="26"/>
    </row>
    <row r="713" customFormat="false" ht="15.75" hidden="false" customHeight="false" outlineLevel="0" collapsed="false">
      <c r="E713" s="26"/>
    </row>
    <row r="714" customFormat="false" ht="15.75" hidden="false" customHeight="false" outlineLevel="0" collapsed="false">
      <c r="E714" s="26"/>
    </row>
    <row r="715" customFormat="false" ht="15.75" hidden="false" customHeight="false" outlineLevel="0" collapsed="false">
      <c r="E715" s="26"/>
    </row>
    <row r="716" customFormat="false" ht="15.75" hidden="false" customHeight="false" outlineLevel="0" collapsed="false">
      <c r="E716" s="26"/>
    </row>
    <row r="717" customFormat="false" ht="15.75" hidden="false" customHeight="false" outlineLevel="0" collapsed="false">
      <c r="E717" s="26"/>
    </row>
    <row r="718" customFormat="false" ht="15.75" hidden="false" customHeight="false" outlineLevel="0" collapsed="false">
      <c r="E718" s="26"/>
    </row>
    <row r="719" customFormat="false" ht="15.75" hidden="false" customHeight="false" outlineLevel="0" collapsed="false">
      <c r="E719" s="26"/>
    </row>
    <row r="720" customFormat="false" ht="15.75" hidden="false" customHeight="false" outlineLevel="0" collapsed="false">
      <c r="E720" s="26"/>
    </row>
    <row r="721" customFormat="false" ht="15.75" hidden="false" customHeight="false" outlineLevel="0" collapsed="false">
      <c r="E721" s="26"/>
    </row>
    <row r="722" customFormat="false" ht="15.75" hidden="false" customHeight="false" outlineLevel="0" collapsed="false">
      <c r="E722" s="26"/>
    </row>
    <row r="723" customFormat="false" ht="15.75" hidden="false" customHeight="false" outlineLevel="0" collapsed="false">
      <c r="E723" s="26"/>
    </row>
    <row r="724" customFormat="false" ht="15.75" hidden="false" customHeight="false" outlineLevel="0" collapsed="false">
      <c r="E724" s="26"/>
    </row>
    <row r="725" customFormat="false" ht="15.75" hidden="false" customHeight="false" outlineLevel="0" collapsed="false">
      <c r="E725" s="26"/>
    </row>
    <row r="726" customFormat="false" ht="15.75" hidden="false" customHeight="false" outlineLevel="0" collapsed="false">
      <c r="E726" s="26"/>
    </row>
    <row r="727" customFormat="false" ht="15.75" hidden="false" customHeight="false" outlineLevel="0" collapsed="false">
      <c r="E727" s="26"/>
    </row>
    <row r="728" customFormat="false" ht="15.75" hidden="false" customHeight="false" outlineLevel="0" collapsed="false">
      <c r="E728" s="26"/>
    </row>
    <row r="729" customFormat="false" ht="15.75" hidden="false" customHeight="false" outlineLevel="0" collapsed="false">
      <c r="E729" s="26"/>
    </row>
    <row r="730" customFormat="false" ht="15.75" hidden="false" customHeight="false" outlineLevel="0" collapsed="false">
      <c r="E730" s="26"/>
    </row>
    <row r="731" customFormat="false" ht="15.75" hidden="false" customHeight="false" outlineLevel="0" collapsed="false">
      <c r="E731" s="26"/>
    </row>
    <row r="732" customFormat="false" ht="15.75" hidden="false" customHeight="false" outlineLevel="0" collapsed="false">
      <c r="E732" s="26"/>
    </row>
    <row r="733" customFormat="false" ht="15.75" hidden="false" customHeight="false" outlineLevel="0" collapsed="false">
      <c r="E733" s="26"/>
    </row>
    <row r="734" customFormat="false" ht="15.75" hidden="false" customHeight="false" outlineLevel="0" collapsed="false">
      <c r="E734" s="26"/>
    </row>
    <row r="735" customFormat="false" ht="15.75" hidden="false" customHeight="false" outlineLevel="0" collapsed="false">
      <c r="E735" s="26"/>
    </row>
    <row r="736" customFormat="false" ht="15.75" hidden="false" customHeight="false" outlineLevel="0" collapsed="false">
      <c r="E736" s="26"/>
    </row>
    <row r="737" customFormat="false" ht="15.75" hidden="false" customHeight="false" outlineLevel="0" collapsed="false">
      <c r="E737" s="26"/>
    </row>
    <row r="738" customFormat="false" ht="15.75" hidden="false" customHeight="false" outlineLevel="0" collapsed="false">
      <c r="E738" s="26"/>
    </row>
    <row r="739" customFormat="false" ht="15.75" hidden="false" customHeight="false" outlineLevel="0" collapsed="false">
      <c r="E739" s="26"/>
    </row>
    <row r="740" customFormat="false" ht="15.75" hidden="false" customHeight="false" outlineLevel="0" collapsed="false">
      <c r="E740" s="26"/>
    </row>
    <row r="741" customFormat="false" ht="15.75" hidden="false" customHeight="false" outlineLevel="0" collapsed="false">
      <c r="E741" s="26"/>
    </row>
    <row r="742" customFormat="false" ht="15.75" hidden="false" customHeight="false" outlineLevel="0" collapsed="false">
      <c r="E742" s="26"/>
    </row>
    <row r="743" customFormat="false" ht="15.75" hidden="false" customHeight="false" outlineLevel="0" collapsed="false">
      <c r="E743" s="26"/>
    </row>
    <row r="744" customFormat="false" ht="15.75" hidden="false" customHeight="false" outlineLevel="0" collapsed="false">
      <c r="E744" s="26"/>
    </row>
    <row r="745" customFormat="false" ht="15.75" hidden="false" customHeight="false" outlineLevel="0" collapsed="false">
      <c r="E745" s="26"/>
    </row>
    <row r="746" customFormat="false" ht="15.75" hidden="false" customHeight="false" outlineLevel="0" collapsed="false">
      <c r="E746" s="26"/>
    </row>
    <row r="747" customFormat="false" ht="15.75" hidden="false" customHeight="false" outlineLevel="0" collapsed="false">
      <c r="E747" s="26"/>
    </row>
    <row r="748" customFormat="false" ht="15.75" hidden="false" customHeight="false" outlineLevel="0" collapsed="false">
      <c r="E748" s="26"/>
    </row>
    <row r="749" customFormat="false" ht="15.75" hidden="false" customHeight="false" outlineLevel="0" collapsed="false">
      <c r="E749" s="26"/>
    </row>
    <row r="750" customFormat="false" ht="15.75" hidden="false" customHeight="false" outlineLevel="0" collapsed="false">
      <c r="E750" s="26"/>
    </row>
    <row r="751" customFormat="false" ht="15.75" hidden="false" customHeight="false" outlineLevel="0" collapsed="false">
      <c r="E751" s="26"/>
    </row>
    <row r="752" customFormat="false" ht="15.75" hidden="false" customHeight="false" outlineLevel="0" collapsed="false">
      <c r="E752" s="26"/>
    </row>
    <row r="753" customFormat="false" ht="15.75" hidden="false" customHeight="false" outlineLevel="0" collapsed="false">
      <c r="E753" s="26"/>
    </row>
    <row r="754" customFormat="false" ht="15.75" hidden="false" customHeight="false" outlineLevel="0" collapsed="false">
      <c r="E754" s="26"/>
    </row>
    <row r="755" customFormat="false" ht="15.75" hidden="false" customHeight="false" outlineLevel="0" collapsed="false">
      <c r="E755" s="26"/>
    </row>
    <row r="756" customFormat="false" ht="15.75" hidden="false" customHeight="false" outlineLevel="0" collapsed="false">
      <c r="E756" s="26"/>
    </row>
    <row r="757" customFormat="false" ht="15.75" hidden="false" customHeight="false" outlineLevel="0" collapsed="false">
      <c r="E757" s="26"/>
    </row>
    <row r="758" customFormat="false" ht="15.75" hidden="false" customHeight="false" outlineLevel="0" collapsed="false">
      <c r="E758" s="26"/>
    </row>
    <row r="759" customFormat="false" ht="15.75" hidden="false" customHeight="false" outlineLevel="0" collapsed="false">
      <c r="E759" s="26"/>
    </row>
    <row r="760" customFormat="false" ht="15.75" hidden="false" customHeight="false" outlineLevel="0" collapsed="false">
      <c r="E760" s="26"/>
    </row>
    <row r="761" customFormat="false" ht="15.75" hidden="false" customHeight="false" outlineLevel="0" collapsed="false">
      <c r="E761" s="26"/>
    </row>
    <row r="762" customFormat="false" ht="15.75" hidden="false" customHeight="false" outlineLevel="0" collapsed="false">
      <c r="E762" s="26"/>
    </row>
    <row r="763" customFormat="false" ht="15.75" hidden="false" customHeight="false" outlineLevel="0" collapsed="false">
      <c r="E763" s="26"/>
    </row>
    <row r="764" customFormat="false" ht="15.75" hidden="false" customHeight="false" outlineLevel="0" collapsed="false">
      <c r="E764" s="26"/>
    </row>
    <row r="765" customFormat="false" ht="15.75" hidden="false" customHeight="false" outlineLevel="0" collapsed="false">
      <c r="E765" s="26"/>
    </row>
    <row r="766" customFormat="false" ht="15.75" hidden="false" customHeight="false" outlineLevel="0" collapsed="false">
      <c r="E766" s="26"/>
    </row>
    <row r="767" customFormat="false" ht="15.75" hidden="false" customHeight="false" outlineLevel="0" collapsed="false">
      <c r="E767" s="26"/>
    </row>
    <row r="768" customFormat="false" ht="15.75" hidden="false" customHeight="false" outlineLevel="0" collapsed="false">
      <c r="E768" s="26"/>
    </row>
    <row r="769" customFormat="false" ht="15.75" hidden="false" customHeight="false" outlineLevel="0" collapsed="false">
      <c r="E769" s="26"/>
    </row>
    <row r="770" customFormat="false" ht="15.75" hidden="false" customHeight="false" outlineLevel="0" collapsed="false">
      <c r="E770" s="26"/>
    </row>
    <row r="771" customFormat="false" ht="15.75" hidden="false" customHeight="false" outlineLevel="0" collapsed="false">
      <c r="E771" s="26"/>
    </row>
    <row r="772" customFormat="false" ht="15.75" hidden="false" customHeight="false" outlineLevel="0" collapsed="false">
      <c r="E772" s="26"/>
    </row>
    <row r="773" customFormat="false" ht="15.75" hidden="false" customHeight="false" outlineLevel="0" collapsed="false">
      <c r="E773" s="26"/>
    </row>
    <row r="774" customFormat="false" ht="15.75" hidden="false" customHeight="false" outlineLevel="0" collapsed="false">
      <c r="E774" s="26"/>
    </row>
    <row r="775" customFormat="false" ht="15.75" hidden="false" customHeight="false" outlineLevel="0" collapsed="false">
      <c r="E775" s="26"/>
    </row>
    <row r="776" customFormat="false" ht="15.75" hidden="false" customHeight="false" outlineLevel="0" collapsed="false">
      <c r="E776" s="26"/>
    </row>
    <row r="777" customFormat="false" ht="15.75" hidden="false" customHeight="false" outlineLevel="0" collapsed="false">
      <c r="E777" s="26"/>
    </row>
    <row r="778" customFormat="false" ht="15.75" hidden="false" customHeight="false" outlineLevel="0" collapsed="false">
      <c r="E778" s="26"/>
    </row>
    <row r="779" customFormat="false" ht="15.75" hidden="false" customHeight="false" outlineLevel="0" collapsed="false">
      <c r="E779" s="26"/>
    </row>
    <row r="780" customFormat="false" ht="15.75" hidden="false" customHeight="false" outlineLevel="0" collapsed="false">
      <c r="E780" s="26"/>
    </row>
    <row r="781" customFormat="false" ht="15.75" hidden="false" customHeight="false" outlineLevel="0" collapsed="false">
      <c r="E781" s="26"/>
    </row>
    <row r="782" customFormat="false" ht="15.75" hidden="false" customHeight="false" outlineLevel="0" collapsed="false">
      <c r="E782" s="26"/>
    </row>
    <row r="783" customFormat="false" ht="15.75" hidden="false" customHeight="false" outlineLevel="0" collapsed="false">
      <c r="E783" s="26"/>
    </row>
    <row r="784" customFormat="false" ht="15.75" hidden="false" customHeight="false" outlineLevel="0" collapsed="false">
      <c r="E784" s="26"/>
    </row>
    <row r="785" customFormat="false" ht="15.75" hidden="false" customHeight="false" outlineLevel="0" collapsed="false">
      <c r="E785" s="26"/>
    </row>
    <row r="786" customFormat="false" ht="15.75" hidden="false" customHeight="false" outlineLevel="0" collapsed="false">
      <c r="E786" s="26"/>
    </row>
    <row r="787" customFormat="false" ht="15.75" hidden="false" customHeight="false" outlineLevel="0" collapsed="false">
      <c r="E787" s="26"/>
    </row>
    <row r="788" customFormat="false" ht="15.75" hidden="false" customHeight="false" outlineLevel="0" collapsed="false">
      <c r="E788" s="26"/>
    </row>
    <row r="789" customFormat="false" ht="15.75" hidden="false" customHeight="false" outlineLevel="0" collapsed="false">
      <c r="E789" s="26"/>
    </row>
    <row r="790" customFormat="false" ht="15.75" hidden="false" customHeight="false" outlineLevel="0" collapsed="false">
      <c r="E790" s="26"/>
    </row>
    <row r="791" customFormat="false" ht="15.75" hidden="false" customHeight="false" outlineLevel="0" collapsed="false">
      <c r="E791" s="26"/>
    </row>
    <row r="792" customFormat="false" ht="15.75" hidden="false" customHeight="false" outlineLevel="0" collapsed="false">
      <c r="E792" s="26"/>
    </row>
    <row r="793" customFormat="false" ht="15.75" hidden="false" customHeight="false" outlineLevel="0" collapsed="false">
      <c r="E793" s="26"/>
    </row>
    <row r="794" customFormat="false" ht="15.75" hidden="false" customHeight="false" outlineLevel="0" collapsed="false">
      <c r="E794" s="26"/>
    </row>
    <row r="795" customFormat="false" ht="15.75" hidden="false" customHeight="false" outlineLevel="0" collapsed="false">
      <c r="E795" s="26"/>
    </row>
    <row r="796" customFormat="false" ht="15.75" hidden="false" customHeight="false" outlineLevel="0" collapsed="false">
      <c r="E796" s="26"/>
    </row>
    <row r="797" customFormat="false" ht="15.75" hidden="false" customHeight="false" outlineLevel="0" collapsed="false">
      <c r="E797" s="26"/>
    </row>
    <row r="798" customFormat="false" ht="15.75" hidden="false" customHeight="false" outlineLevel="0" collapsed="false">
      <c r="E798" s="26"/>
    </row>
    <row r="799" customFormat="false" ht="15.75" hidden="false" customHeight="false" outlineLevel="0" collapsed="false">
      <c r="E799" s="26"/>
    </row>
    <row r="800" customFormat="false" ht="15.75" hidden="false" customHeight="false" outlineLevel="0" collapsed="false">
      <c r="E800" s="26"/>
    </row>
    <row r="801" customFormat="false" ht="15.75" hidden="false" customHeight="false" outlineLevel="0" collapsed="false">
      <c r="E801" s="26"/>
    </row>
    <row r="802" customFormat="false" ht="15.75" hidden="false" customHeight="false" outlineLevel="0" collapsed="false">
      <c r="E802" s="26"/>
    </row>
    <row r="803" customFormat="false" ht="15.75" hidden="false" customHeight="false" outlineLevel="0" collapsed="false">
      <c r="E803" s="26"/>
    </row>
    <row r="804" customFormat="false" ht="15.75" hidden="false" customHeight="false" outlineLevel="0" collapsed="false">
      <c r="E804" s="26"/>
    </row>
    <row r="805" customFormat="false" ht="15.75" hidden="false" customHeight="false" outlineLevel="0" collapsed="false">
      <c r="E805" s="26"/>
    </row>
    <row r="806" customFormat="false" ht="15.75" hidden="false" customHeight="false" outlineLevel="0" collapsed="false">
      <c r="E806" s="26"/>
    </row>
    <row r="807" customFormat="false" ht="15.75" hidden="false" customHeight="false" outlineLevel="0" collapsed="false">
      <c r="E807" s="26"/>
    </row>
    <row r="808" customFormat="false" ht="15.75" hidden="false" customHeight="false" outlineLevel="0" collapsed="false">
      <c r="E808" s="26"/>
    </row>
    <row r="809" customFormat="false" ht="15.75" hidden="false" customHeight="false" outlineLevel="0" collapsed="false">
      <c r="E809" s="26"/>
    </row>
    <row r="810" customFormat="false" ht="15.75" hidden="false" customHeight="false" outlineLevel="0" collapsed="false">
      <c r="E810" s="26"/>
    </row>
    <row r="811" customFormat="false" ht="15.75" hidden="false" customHeight="false" outlineLevel="0" collapsed="false">
      <c r="E811" s="26"/>
    </row>
    <row r="812" customFormat="false" ht="15.75" hidden="false" customHeight="false" outlineLevel="0" collapsed="false">
      <c r="E812" s="26"/>
    </row>
    <row r="813" customFormat="false" ht="15.75" hidden="false" customHeight="false" outlineLevel="0" collapsed="false">
      <c r="E813" s="26"/>
    </row>
    <row r="814" customFormat="false" ht="15.75" hidden="false" customHeight="false" outlineLevel="0" collapsed="false">
      <c r="E814" s="26"/>
    </row>
    <row r="815" customFormat="false" ht="15.75" hidden="false" customHeight="false" outlineLevel="0" collapsed="false">
      <c r="E815" s="26"/>
    </row>
    <row r="816" customFormat="false" ht="15.75" hidden="false" customHeight="false" outlineLevel="0" collapsed="false">
      <c r="E816" s="26"/>
    </row>
    <row r="817" customFormat="false" ht="15.75" hidden="false" customHeight="false" outlineLevel="0" collapsed="false">
      <c r="E817" s="26"/>
    </row>
    <row r="818" customFormat="false" ht="15.75" hidden="false" customHeight="false" outlineLevel="0" collapsed="false">
      <c r="E818" s="26"/>
    </row>
    <row r="819" customFormat="false" ht="15.75" hidden="false" customHeight="false" outlineLevel="0" collapsed="false">
      <c r="E819" s="26"/>
    </row>
    <row r="820" customFormat="false" ht="15.75" hidden="false" customHeight="false" outlineLevel="0" collapsed="false">
      <c r="E820" s="26"/>
    </row>
    <row r="821" customFormat="false" ht="15.75" hidden="false" customHeight="false" outlineLevel="0" collapsed="false">
      <c r="E821" s="26"/>
    </row>
    <row r="822" customFormat="false" ht="15.75" hidden="false" customHeight="false" outlineLevel="0" collapsed="false">
      <c r="E822" s="26"/>
    </row>
    <row r="823" customFormat="false" ht="15.75" hidden="false" customHeight="false" outlineLevel="0" collapsed="false">
      <c r="E823" s="26"/>
    </row>
    <row r="824" customFormat="false" ht="15.75" hidden="false" customHeight="false" outlineLevel="0" collapsed="false">
      <c r="E824" s="26"/>
    </row>
    <row r="825" customFormat="false" ht="15.75" hidden="false" customHeight="false" outlineLevel="0" collapsed="false">
      <c r="E825" s="26"/>
    </row>
    <row r="826" customFormat="false" ht="15.75" hidden="false" customHeight="false" outlineLevel="0" collapsed="false">
      <c r="E826" s="26"/>
    </row>
    <row r="827" customFormat="false" ht="15.75" hidden="false" customHeight="false" outlineLevel="0" collapsed="false">
      <c r="E827" s="26"/>
    </row>
    <row r="828" customFormat="false" ht="15.75" hidden="false" customHeight="false" outlineLevel="0" collapsed="false">
      <c r="E828" s="26"/>
    </row>
    <row r="829" customFormat="false" ht="15.75" hidden="false" customHeight="false" outlineLevel="0" collapsed="false">
      <c r="E829" s="26"/>
    </row>
    <row r="830" customFormat="false" ht="15.75" hidden="false" customHeight="false" outlineLevel="0" collapsed="false">
      <c r="E830" s="26"/>
    </row>
    <row r="831" customFormat="false" ht="15.75" hidden="false" customHeight="false" outlineLevel="0" collapsed="false">
      <c r="E831" s="26"/>
    </row>
    <row r="832" customFormat="false" ht="15.75" hidden="false" customHeight="false" outlineLevel="0" collapsed="false">
      <c r="E832" s="26"/>
    </row>
    <row r="833" customFormat="false" ht="15.75" hidden="false" customHeight="false" outlineLevel="0" collapsed="false">
      <c r="E833" s="26"/>
    </row>
    <row r="834" customFormat="false" ht="15.75" hidden="false" customHeight="false" outlineLevel="0" collapsed="false">
      <c r="E834" s="26"/>
    </row>
    <row r="835" customFormat="false" ht="15.75" hidden="false" customHeight="false" outlineLevel="0" collapsed="false">
      <c r="E835" s="26"/>
    </row>
    <row r="836" customFormat="false" ht="15.75" hidden="false" customHeight="false" outlineLevel="0" collapsed="false">
      <c r="E836" s="26"/>
    </row>
    <row r="837" customFormat="false" ht="15.75" hidden="false" customHeight="false" outlineLevel="0" collapsed="false">
      <c r="E837" s="26"/>
    </row>
    <row r="838" customFormat="false" ht="15.75" hidden="false" customHeight="false" outlineLevel="0" collapsed="false">
      <c r="E838" s="26"/>
    </row>
    <row r="839" customFormat="false" ht="15.75" hidden="false" customHeight="false" outlineLevel="0" collapsed="false">
      <c r="E839" s="26"/>
    </row>
    <row r="840" customFormat="false" ht="15.75" hidden="false" customHeight="false" outlineLevel="0" collapsed="false">
      <c r="E840" s="26"/>
    </row>
    <row r="841" customFormat="false" ht="15.75" hidden="false" customHeight="false" outlineLevel="0" collapsed="false">
      <c r="E841" s="26"/>
    </row>
    <row r="842" customFormat="false" ht="15.75" hidden="false" customHeight="false" outlineLevel="0" collapsed="false">
      <c r="E842" s="26"/>
    </row>
    <row r="843" customFormat="false" ht="15.75" hidden="false" customHeight="false" outlineLevel="0" collapsed="false">
      <c r="E843" s="26"/>
    </row>
    <row r="844" customFormat="false" ht="15.75" hidden="false" customHeight="false" outlineLevel="0" collapsed="false">
      <c r="E844" s="26"/>
    </row>
    <row r="845" customFormat="false" ht="15.75" hidden="false" customHeight="false" outlineLevel="0" collapsed="false">
      <c r="E845" s="26"/>
    </row>
    <row r="846" customFormat="false" ht="15.75" hidden="false" customHeight="false" outlineLevel="0" collapsed="false">
      <c r="E846" s="26"/>
    </row>
    <row r="847" customFormat="false" ht="15.75" hidden="false" customHeight="false" outlineLevel="0" collapsed="false">
      <c r="E847" s="26"/>
    </row>
    <row r="848" customFormat="false" ht="15.75" hidden="false" customHeight="false" outlineLevel="0" collapsed="false">
      <c r="E848" s="26"/>
    </row>
    <row r="849" customFormat="false" ht="15.75" hidden="false" customHeight="false" outlineLevel="0" collapsed="false">
      <c r="E849" s="26"/>
    </row>
    <row r="850" customFormat="false" ht="15.75" hidden="false" customHeight="false" outlineLevel="0" collapsed="false">
      <c r="E850" s="26"/>
    </row>
    <row r="851" customFormat="false" ht="15.75" hidden="false" customHeight="false" outlineLevel="0" collapsed="false">
      <c r="E851" s="26"/>
    </row>
    <row r="852" customFormat="false" ht="15.75" hidden="false" customHeight="false" outlineLevel="0" collapsed="false">
      <c r="E852" s="26"/>
    </row>
    <row r="853" customFormat="false" ht="15.75" hidden="false" customHeight="false" outlineLevel="0" collapsed="false">
      <c r="E853" s="26"/>
    </row>
    <row r="854" customFormat="false" ht="15.75" hidden="false" customHeight="false" outlineLevel="0" collapsed="false">
      <c r="E854" s="26"/>
    </row>
    <row r="855" customFormat="false" ht="15.75" hidden="false" customHeight="false" outlineLevel="0" collapsed="false">
      <c r="E855" s="26"/>
    </row>
    <row r="856" customFormat="false" ht="15.75" hidden="false" customHeight="false" outlineLevel="0" collapsed="false">
      <c r="E856" s="26"/>
    </row>
    <row r="857" customFormat="false" ht="15.75" hidden="false" customHeight="false" outlineLevel="0" collapsed="false">
      <c r="E857" s="26"/>
    </row>
    <row r="858" customFormat="false" ht="15.75" hidden="false" customHeight="false" outlineLevel="0" collapsed="false">
      <c r="E858" s="26"/>
    </row>
    <row r="859" customFormat="false" ht="15.75" hidden="false" customHeight="false" outlineLevel="0" collapsed="false">
      <c r="E859" s="26"/>
    </row>
    <row r="860" customFormat="false" ht="15.75" hidden="false" customHeight="false" outlineLevel="0" collapsed="false">
      <c r="E860" s="26"/>
    </row>
    <row r="861" customFormat="false" ht="15.75" hidden="false" customHeight="false" outlineLevel="0" collapsed="false">
      <c r="E861" s="26"/>
    </row>
    <row r="862" customFormat="false" ht="15.75" hidden="false" customHeight="false" outlineLevel="0" collapsed="false">
      <c r="E862" s="26"/>
    </row>
    <row r="863" customFormat="false" ht="15.75" hidden="false" customHeight="false" outlineLevel="0" collapsed="false">
      <c r="E863" s="26"/>
    </row>
    <row r="864" customFormat="false" ht="15.75" hidden="false" customHeight="false" outlineLevel="0" collapsed="false">
      <c r="E864" s="26"/>
    </row>
    <row r="865" customFormat="false" ht="15.75" hidden="false" customHeight="false" outlineLevel="0" collapsed="false">
      <c r="E865" s="26"/>
    </row>
    <row r="866" customFormat="false" ht="15.75" hidden="false" customHeight="false" outlineLevel="0" collapsed="false">
      <c r="E866" s="26"/>
    </row>
    <row r="867" customFormat="false" ht="15.75" hidden="false" customHeight="false" outlineLevel="0" collapsed="false">
      <c r="E867" s="26"/>
    </row>
    <row r="868" customFormat="false" ht="15.75" hidden="false" customHeight="false" outlineLevel="0" collapsed="false">
      <c r="E868" s="26"/>
    </row>
    <row r="869" customFormat="false" ht="15.75" hidden="false" customHeight="false" outlineLevel="0" collapsed="false">
      <c r="E869" s="26"/>
    </row>
    <row r="870" customFormat="false" ht="15.75" hidden="false" customHeight="false" outlineLevel="0" collapsed="false">
      <c r="E870" s="26"/>
    </row>
    <row r="871" customFormat="false" ht="15.75" hidden="false" customHeight="false" outlineLevel="0" collapsed="false">
      <c r="E871" s="26"/>
    </row>
    <row r="872" customFormat="false" ht="15.75" hidden="false" customHeight="false" outlineLevel="0" collapsed="false">
      <c r="E872" s="26"/>
    </row>
    <row r="873" customFormat="false" ht="15.75" hidden="false" customHeight="false" outlineLevel="0" collapsed="false">
      <c r="E873" s="26"/>
    </row>
    <row r="874" customFormat="false" ht="15.75" hidden="false" customHeight="false" outlineLevel="0" collapsed="false">
      <c r="E874" s="26"/>
    </row>
    <row r="875" customFormat="false" ht="15.75" hidden="false" customHeight="false" outlineLevel="0" collapsed="false">
      <c r="E875" s="26"/>
    </row>
    <row r="876" customFormat="false" ht="15.75" hidden="false" customHeight="false" outlineLevel="0" collapsed="false">
      <c r="E876" s="26"/>
    </row>
    <row r="877" customFormat="false" ht="15.75" hidden="false" customHeight="false" outlineLevel="0" collapsed="false">
      <c r="E877" s="26"/>
    </row>
    <row r="878" customFormat="false" ht="15.75" hidden="false" customHeight="false" outlineLevel="0" collapsed="false">
      <c r="E878" s="26"/>
    </row>
    <row r="879" customFormat="false" ht="15.75" hidden="false" customHeight="false" outlineLevel="0" collapsed="false">
      <c r="E879" s="26"/>
    </row>
    <row r="880" customFormat="false" ht="15.75" hidden="false" customHeight="false" outlineLevel="0" collapsed="false">
      <c r="E880" s="26"/>
    </row>
    <row r="881" customFormat="false" ht="15.75" hidden="false" customHeight="false" outlineLevel="0" collapsed="false">
      <c r="E881" s="26"/>
    </row>
    <row r="882" customFormat="false" ht="15.75" hidden="false" customHeight="false" outlineLevel="0" collapsed="false">
      <c r="E882" s="26"/>
    </row>
    <row r="883" customFormat="false" ht="15.75" hidden="false" customHeight="false" outlineLevel="0" collapsed="false">
      <c r="E883" s="26"/>
    </row>
    <row r="884" customFormat="false" ht="15.75" hidden="false" customHeight="false" outlineLevel="0" collapsed="false">
      <c r="E884" s="26"/>
    </row>
    <row r="885" customFormat="false" ht="15.75" hidden="false" customHeight="false" outlineLevel="0" collapsed="false">
      <c r="E885" s="26"/>
    </row>
    <row r="886" customFormat="false" ht="15.75" hidden="false" customHeight="false" outlineLevel="0" collapsed="false">
      <c r="E886" s="26"/>
    </row>
    <row r="887" customFormat="false" ht="15.75" hidden="false" customHeight="false" outlineLevel="0" collapsed="false">
      <c r="E887" s="26"/>
    </row>
    <row r="888" customFormat="false" ht="15.75" hidden="false" customHeight="false" outlineLevel="0" collapsed="false">
      <c r="E888" s="26"/>
    </row>
    <row r="889" customFormat="false" ht="15.75" hidden="false" customHeight="false" outlineLevel="0" collapsed="false">
      <c r="E889" s="26"/>
    </row>
    <row r="890" customFormat="false" ht="15.75" hidden="false" customHeight="false" outlineLevel="0" collapsed="false">
      <c r="E890" s="26"/>
    </row>
    <row r="891" customFormat="false" ht="15.75" hidden="false" customHeight="false" outlineLevel="0" collapsed="false">
      <c r="E891" s="26"/>
    </row>
    <row r="892" customFormat="false" ht="15.75" hidden="false" customHeight="false" outlineLevel="0" collapsed="false">
      <c r="E892" s="26"/>
    </row>
    <row r="893" customFormat="false" ht="15.75" hidden="false" customHeight="false" outlineLevel="0" collapsed="false">
      <c r="E893" s="26"/>
    </row>
    <row r="894" customFormat="false" ht="15.75" hidden="false" customHeight="false" outlineLevel="0" collapsed="false">
      <c r="E894" s="26"/>
    </row>
    <row r="895" customFormat="false" ht="15.75" hidden="false" customHeight="false" outlineLevel="0" collapsed="false">
      <c r="E895" s="26"/>
    </row>
    <row r="896" customFormat="false" ht="15.75" hidden="false" customHeight="false" outlineLevel="0" collapsed="false">
      <c r="E896" s="26"/>
    </row>
    <row r="897" customFormat="false" ht="15.75" hidden="false" customHeight="false" outlineLevel="0" collapsed="false">
      <c r="E897" s="26"/>
    </row>
    <row r="898" customFormat="false" ht="15.75" hidden="false" customHeight="false" outlineLevel="0" collapsed="false">
      <c r="E898" s="26"/>
    </row>
    <row r="899" customFormat="false" ht="15.75" hidden="false" customHeight="false" outlineLevel="0" collapsed="false">
      <c r="E899" s="26"/>
    </row>
    <row r="900" customFormat="false" ht="15.75" hidden="false" customHeight="false" outlineLevel="0" collapsed="false">
      <c r="E900" s="26"/>
    </row>
    <row r="901" customFormat="false" ht="15.75" hidden="false" customHeight="false" outlineLevel="0" collapsed="false">
      <c r="E901" s="26"/>
    </row>
    <row r="902" customFormat="false" ht="15.75" hidden="false" customHeight="false" outlineLevel="0" collapsed="false">
      <c r="E902" s="26"/>
    </row>
    <row r="903" customFormat="false" ht="15.75" hidden="false" customHeight="false" outlineLevel="0" collapsed="false">
      <c r="E903" s="26"/>
    </row>
    <row r="904" customFormat="false" ht="15.75" hidden="false" customHeight="false" outlineLevel="0" collapsed="false">
      <c r="E904" s="26"/>
    </row>
    <row r="905" customFormat="false" ht="15.75" hidden="false" customHeight="false" outlineLevel="0" collapsed="false">
      <c r="E905" s="26"/>
    </row>
    <row r="906" customFormat="false" ht="15.75" hidden="false" customHeight="false" outlineLevel="0" collapsed="false">
      <c r="E906" s="26"/>
    </row>
    <row r="907" customFormat="false" ht="15.75" hidden="false" customHeight="false" outlineLevel="0" collapsed="false">
      <c r="E907" s="26"/>
    </row>
    <row r="908" customFormat="false" ht="15.75" hidden="false" customHeight="false" outlineLevel="0" collapsed="false">
      <c r="E908" s="26"/>
    </row>
    <row r="909" customFormat="false" ht="15.75" hidden="false" customHeight="false" outlineLevel="0" collapsed="false">
      <c r="E909" s="26"/>
    </row>
    <row r="910" customFormat="false" ht="15.75" hidden="false" customHeight="false" outlineLevel="0" collapsed="false">
      <c r="E910" s="26"/>
    </row>
    <row r="911" customFormat="false" ht="15.75" hidden="false" customHeight="false" outlineLevel="0" collapsed="false">
      <c r="E911" s="26"/>
    </row>
    <row r="912" customFormat="false" ht="15.75" hidden="false" customHeight="false" outlineLevel="0" collapsed="false">
      <c r="E912" s="26"/>
    </row>
    <row r="913" customFormat="false" ht="15.75" hidden="false" customHeight="false" outlineLevel="0" collapsed="false">
      <c r="E913" s="26"/>
    </row>
    <row r="914" customFormat="false" ht="15.75" hidden="false" customHeight="false" outlineLevel="0" collapsed="false">
      <c r="E914" s="26"/>
    </row>
    <row r="915" customFormat="false" ht="15.75" hidden="false" customHeight="false" outlineLevel="0" collapsed="false">
      <c r="E915" s="26"/>
    </row>
    <row r="916" customFormat="false" ht="15.75" hidden="false" customHeight="false" outlineLevel="0" collapsed="false">
      <c r="E916" s="26"/>
    </row>
    <row r="917" customFormat="false" ht="15.75" hidden="false" customHeight="false" outlineLevel="0" collapsed="false">
      <c r="E917" s="26"/>
    </row>
    <row r="918" customFormat="false" ht="15.75" hidden="false" customHeight="false" outlineLevel="0" collapsed="false">
      <c r="E918" s="26"/>
    </row>
    <row r="919" customFormat="false" ht="15.75" hidden="false" customHeight="false" outlineLevel="0" collapsed="false">
      <c r="E919" s="26"/>
    </row>
    <row r="920" customFormat="false" ht="15.75" hidden="false" customHeight="false" outlineLevel="0" collapsed="false">
      <c r="E920" s="26"/>
    </row>
    <row r="921" customFormat="false" ht="15.75" hidden="false" customHeight="false" outlineLevel="0" collapsed="false">
      <c r="E921" s="26"/>
    </row>
    <row r="922" customFormat="false" ht="15.75" hidden="false" customHeight="false" outlineLevel="0" collapsed="false">
      <c r="E922" s="26"/>
    </row>
    <row r="923" customFormat="false" ht="15.75" hidden="false" customHeight="false" outlineLevel="0" collapsed="false">
      <c r="E923" s="26"/>
    </row>
    <row r="924" customFormat="false" ht="15.75" hidden="false" customHeight="false" outlineLevel="0" collapsed="false">
      <c r="E924" s="26"/>
    </row>
    <row r="925" customFormat="false" ht="15.75" hidden="false" customHeight="false" outlineLevel="0" collapsed="false">
      <c r="E925" s="26"/>
    </row>
    <row r="926" customFormat="false" ht="15.75" hidden="false" customHeight="false" outlineLevel="0" collapsed="false">
      <c r="E926" s="26"/>
    </row>
    <row r="927" customFormat="false" ht="15.75" hidden="false" customHeight="false" outlineLevel="0" collapsed="false">
      <c r="E927" s="26"/>
    </row>
    <row r="928" customFormat="false" ht="15.75" hidden="false" customHeight="false" outlineLevel="0" collapsed="false">
      <c r="E928" s="26"/>
    </row>
    <row r="929" customFormat="false" ht="15.75" hidden="false" customHeight="false" outlineLevel="0" collapsed="false">
      <c r="E929" s="26"/>
    </row>
    <row r="930" customFormat="false" ht="15.75" hidden="false" customHeight="false" outlineLevel="0" collapsed="false">
      <c r="E930" s="26"/>
    </row>
    <row r="931" customFormat="false" ht="15.75" hidden="false" customHeight="false" outlineLevel="0" collapsed="false">
      <c r="E931" s="26"/>
    </row>
    <row r="932" customFormat="false" ht="15.75" hidden="false" customHeight="false" outlineLevel="0" collapsed="false">
      <c r="E932" s="26"/>
    </row>
    <row r="933" customFormat="false" ht="15.75" hidden="false" customHeight="false" outlineLevel="0" collapsed="false">
      <c r="E933" s="26"/>
    </row>
    <row r="934" customFormat="false" ht="15.75" hidden="false" customHeight="false" outlineLevel="0" collapsed="false">
      <c r="E934" s="26"/>
    </row>
    <row r="935" customFormat="false" ht="15.75" hidden="false" customHeight="false" outlineLevel="0" collapsed="false">
      <c r="E935" s="26"/>
    </row>
    <row r="936" customFormat="false" ht="15.75" hidden="false" customHeight="false" outlineLevel="0" collapsed="false">
      <c r="E936" s="26"/>
    </row>
    <row r="937" customFormat="false" ht="15.75" hidden="false" customHeight="false" outlineLevel="0" collapsed="false">
      <c r="E937" s="26"/>
    </row>
    <row r="938" customFormat="false" ht="15.75" hidden="false" customHeight="false" outlineLevel="0" collapsed="false">
      <c r="E938" s="26"/>
    </row>
    <row r="939" customFormat="false" ht="15.75" hidden="false" customHeight="false" outlineLevel="0" collapsed="false">
      <c r="E939" s="26"/>
    </row>
    <row r="940" customFormat="false" ht="15.75" hidden="false" customHeight="false" outlineLevel="0" collapsed="false">
      <c r="E940" s="26"/>
    </row>
    <row r="941" customFormat="false" ht="15.75" hidden="false" customHeight="false" outlineLevel="0" collapsed="false">
      <c r="E941" s="26"/>
    </row>
    <row r="942" customFormat="false" ht="15.75" hidden="false" customHeight="false" outlineLevel="0" collapsed="false">
      <c r="E942" s="26"/>
    </row>
    <row r="943" customFormat="false" ht="15.75" hidden="false" customHeight="false" outlineLevel="0" collapsed="false">
      <c r="E943" s="26"/>
    </row>
    <row r="944" customFormat="false" ht="15.75" hidden="false" customHeight="false" outlineLevel="0" collapsed="false">
      <c r="E944" s="26"/>
    </row>
    <row r="945" customFormat="false" ht="15.75" hidden="false" customHeight="false" outlineLevel="0" collapsed="false">
      <c r="E945" s="26"/>
    </row>
    <row r="946" customFormat="false" ht="15.75" hidden="false" customHeight="false" outlineLevel="0" collapsed="false">
      <c r="E946" s="26"/>
    </row>
    <row r="947" customFormat="false" ht="15.75" hidden="false" customHeight="false" outlineLevel="0" collapsed="false">
      <c r="E947" s="26"/>
    </row>
    <row r="948" customFormat="false" ht="15.75" hidden="false" customHeight="false" outlineLevel="0" collapsed="false">
      <c r="E948" s="26"/>
    </row>
    <row r="949" customFormat="false" ht="15.75" hidden="false" customHeight="false" outlineLevel="0" collapsed="false">
      <c r="E949" s="26"/>
    </row>
    <row r="950" customFormat="false" ht="15.75" hidden="false" customHeight="false" outlineLevel="0" collapsed="false">
      <c r="E950" s="26"/>
    </row>
    <row r="951" customFormat="false" ht="15.75" hidden="false" customHeight="false" outlineLevel="0" collapsed="false">
      <c r="E951" s="26"/>
    </row>
    <row r="952" customFormat="false" ht="15.75" hidden="false" customHeight="false" outlineLevel="0" collapsed="false">
      <c r="E952" s="26"/>
    </row>
    <row r="953" customFormat="false" ht="15.75" hidden="false" customHeight="false" outlineLevel="0" collapsed="false">
      <c r="E953" s="26"/>
    </row>
    <row r="954" customFormat="false" ht="15.75" hidden="false" customHeight="false" outlineLevel="0" collapsed="false">
      <c r="E954" s="26"/>
    </row>
    <row r="955" customFormat="false" ht="15.75" hidden="false" customHeight="false" outlineLevel="0" collapsed="false">
      <c r="E955" s="26"/>
    </row>
    <row r="956" customFormat="false" ht="15.75" hidden="false" customHeight="false" outlineLevel="0" collapsed="false">
      <c r="E956" s="26"/>
    </row>
    <row r="957" customFormat="false" ht="15.75" hidden="false" customHeight="false" outlineLevel="0" collapsed="false">
      <c r="E957" s="26"/>
    </row>
    <row r="958" customFormat="false" ht="15.75" hidden="false" customHeight="false" outlineLevel="0" collapsed="false">
      <c r="E958" s="26"/>
    </row>
    <row r="959" customFormat="false" ht="15.75" hidden="false" customHeight="false" outlineLevel="0" collapsed="false">
      <c r="E959" s="26"/>
    </row>
    <row r="960" customFormat="false" ht="15.75" hidden="false" customHeight="false" outlineLevel="0" collapsed="false">
      <c r="E960" s="26"/>
    </row>
    <row r="961" customFormat="false" ht="15.75" hidden="false" customHeight="false" outlineLevel="0" collapsed="false">
      <c r="E961" s="26"/>
    </row>
    <row r="962" customFormat="false" ht="15.75" hidden="false" customHeight="false" outlineLevel="0" collapsed="false">
      <c r="E962" s="26"/>
    </row>
    <row r="963" customFormat="false" ht="15.75" hidden="false" customHeight="false" outlineLevel="0" collapsed="false">
      <c r="E963" s="26"/>
    </row>
    <row r="964" customFormat="false" ht="15.75" hidden="false" customHeight="false" outlineLevel="0" collapsed="false">
      <c r="E964" s="26"/>
    </row>
    <row r="965" customFormat="false" ht="15.75" hidden="false" customHeight="false" outlineLevel="0" collapsed="false">
      <c r="E965" s="26"/>
    </row>
    <row r="966" customFormat="false" ht="15.75" hidden="false" customHeight="false" outlineLevel="0" collapsed="false">
      <c r="E966" s="26"/>
    </row>
    <row r="967" customFormat="false" ht="15.75" hidden="false" customHeight="false" outlineLevel="0" collapsed="false">
      <c r="E967" s="26"/>
    </row>
    <row r="968" customFormat="false" ht="15.75" hidden="false" customHeight="false" outlineLevel="0" collapsed="false">
      <c r="E968" s="26"/>
    </row>
    <row r="969" customFormat="false" ht="15.75" hidden="false" customHeight="false" outlineLevel="0" collapsed="false">
      <c r="E969" s="26"/>
    </row>
    <row r="970" customFormat="false" ht="15.75" hidden="false" customHeight="false" outlineLevel="0" collapsed="false">
      <c r="E970" s="26"/>
    </row>
    <row r="971" customFormat="false" ht="15.75" hidden="false" customHeight="false" outlineLevel="0" collapsed="false">
      <c r="E971" s="26"/>
    </row>
    <row r="972" customFormat="false" ht="15.75" hidden="false" customHeight="false" outlineLevel="0" collapsed="false">
      <c r="E972" s="26"/>
    </row>
    <row r="973" customFormat="false" ht="15.75" hidden="false" customHeight="false" outlineLevel="0" collapsed="false">
      <c r="E973" s="26"/>
    </row>
    <row r="974" customFormat="false" ht="15.75" hidden="false" customHeight="false" outlineLevel="0" collapsed="false">
      <c r="E974" s="26"/>
    </row>
    <row r="975" customFormat="false" ht="15.75" hidden="false" customHeight="false" outlineLevel="0" collapsed="false">
      <c r="E975" s="26"/>
    </row>
    <row r="976" customFormat="false" ht="15.75" hidden="false" customHeight="false" outlineLevel="0" collapsed="false">
      <c r="E976" s="26"/>
    </row>
    <row r="977" customFormat="false" ht="15.75" hidden="false" customHeight="false" outlineLevel="0" collapsed="false">
      <c r="E977" s="26"/>
    </row>
    <row r="978" customFormat="false" ht="15.75" hidden="false" customHeight="false" outlineLevel="0" collapsed="false">
      <c r="E978" s="26"/>
    </row>
    <row r="979" customFormat="false" ht="15.75" hidden="false" customHeight="false" outlineLevel="0" collapsed="false">
      <c r="E979" s="26"/>
    </row>
    <row r="980" customFormat="false" ht="15.75" hidden="false" customHeight="false" outlineLevel="0" collapsed="false">
      <c r="E980" s="26"/>
    </row>
    <row r="981" customFormat="false" ht="15.75" hidden="false" customHeight="false" outlineLevel="0" collapsed="false">
      <c r="E981" s="26"/>
    </row>
    <row r="982" customFormat="false" ht="15.75" hidden="false" customHeight="false" outlineLevel="0" collapsed="false">
      <c r="E982" s="26"/>
    </row>
    <row r="983" customFormat="false" ht="15.75" hidden="false" customHeight="false" outlineLevel="0" collapsed="false">
      <c r="E983" s="26"/>
    </row>
    <row r="984" customFormat="false" ht="15.75" hidden="false" customHeight="false" outlineLevel="0" collapsed="false">
      <c r="E984" s="26"/>
    </row>
    <row r="985" customFormat="false" ht="15.75" hidden="false" customHeight="false" outlineLevel="0" collapsed="false">
      <c r="E985" s="26"/>
    </row>
    <row r="986" customFormat="false" ht="15.75" hidden="false" customHeight="false" outlineLevel="0" collapsed="false">
      <c r="E986" s="26"/>
    </row>
    <row r="987" customFormat="false" ht="15.75" hidden="false" customHeight="false" outlineLevel="0" collapsed="false">
      <c r="E987" s="26"/>
    </row>
    <row r="988" customFormat="false" ht="15.75" hidden="false" customHeight="false" outlineLevel="0" collapsed="false">
      <c r="E988" s="26"/>
    </row>
    <row r="989" customFormat="false" ht="15.75" hidden="false" customHeight="false" outlineLevel="0" collapsed="false">
      <c r="E989" s="26"/>
    </row>
    <row r="990" customFormat="false" ht="15.75" hidden="false" customHeight="false" outlineLevel="0" collapsed="false">
      <c r="E990" s="26"/>
    </row>
    <row r="991" customFormat="false" ht="15.75" hidden="false" customHeight="false" outlineLevel="0" collapsed="false">
      <c r="E991" s="26"/>
    </row>
    <row r="992" customFormat="false" ht="15.75" hidden="false" customHeight="false" outlineLevel="0" collapsed="false">
      <c r="E992" s="26"/>
    </row>
    <row r="993" customFormat="false" ht="15.75" hidden="false" customHeight="false" outlineLevel="0" collapsed="false">
      <c r="E993" s="26"/>
    </row>
    <row r="994" customFormat="false" ht="15.75" hidden="false" customHeight="false" outlineLevel="0" collapsed="false">
      <c r="E994" s="26"/>
    </row>
  </sheetData>
  <mergeCells count="2">
    <mergeCell ref="B1:D1"/>
    <mergeCell ref="E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25.66"/>
    <col collapsed="false" customWidth="true" hidden="false" outlineLevel="0" max="1024" min="2" style="0" width="12.64"/>
  </cols>
  <sheetData>
    <row r="1" customFormat="false" ht="13.8" hidden="false" customHeight="false" outlineLevel="0" collapsed="false">
      <c r="A1" s="11" t="s">
        <v>98</v>
      </c>
      <c r="B1" s="11"/>
      <c r="C1" s="11"/>
      <c r="D1" s="22" t="s">
        <v>887</v>
      </c>
      <c r="E1" s="22"/>
      <c r="F1" s="22"/>
      <c r="H1" s="8" t="s">
        <v>888</v>
      </c>
      <c r="I1" s="24" t="s">
        <v>872</v>
      </c>
      <c r="J1" s="24" t="s">
        <v>873</v>
      </c>
      <c r="L1" s="8" t="s">
        <v>889</v>
      </c>
      <c r="M1" s="8" t="s">
        <v>890</v>
      </c>
    </row>
    <row r="2" customFormat="false" ht="13.8" hidden="false" customHeight="false" outlineLevel="0" collapsed="false">
      <c r="A2" s="3" t="s">
        <v>152</v>
      </c>
      <c r="B2" s="3" t="s">
        <v>150</v>
      </c>
      <c r="C2" s="3" t="s">
        <v>153</v>
      </c>
      <c r="D2" s="25" t="s">
        <v>891</v>
      </c>
      <c r="E2" s="3" t="s">
        <v>164</v>
      </c>
      <c r="F2" s="3" t="s">
        <v>154</v>
      </c>
      <c r="H2" s="3" t="s">
        <v>884</v>
      </c>
      <c r="I2" s="13" t="n">
        <f aca="false">IF(L2=E2,1,0)</f>
        <v>1</v>
      </c>
      <c r="J2" s="13" t="n">
        <f aca="false">IF(M2=F2,1,0)</f>
        <v>1</v>
      </c>
      <c r="L2" s="3" t="s">
        <v>164</v>
      </c>
      <c r="M2" s="3" t="s">
        <v>154</v>
      </c>
      <c r="O2" s="4" t="s">
        <v>107</v>
      </c>
      <c r="P2" s="17"/>
      <c r="Q2" s="8" t="s">
        <v>108</v>
      </c>
    </row>
    <row r="3" customFormat="false" ht="13.8" hidden="false" customHeight="false" outlineLevel="0" collapsed="false">
      <c r="A3" s="3" t="s">
        <v>166</v>
      </c>
      <c r="B3" s="3" t="s">
        <v>150</v>
      </c>
      <c r="C3" s="3" t="s">
        <v>153</v>
      </c>
      <c r="D3" s="25" t="s">
        <v>891</v>
      </c>
      <c r="E3" s="3" t="s">
        <v>164</v>
      </c>
      <c r="F3" s="3" t="s">
        <v>154</v>
      </c>
      <c r="H3" s="3" t="s">
        <v>892</v>
      </c>
      <c r="I3" s="13" t="n">
        <f aca="false">IF(L3=E3,1,0)</f>
        <v>1</v>
      </c>
      <c r="J3" s="13" t="n">
        <f aca="false">IF(M3=F3,1,0)</f>
        <v>1</v>
      </c>
      <c r="L3" s="3" t="s">
        <v>164</v>
      </c>
      <c r="M3" s="3" t="s">
        <v>154</v>
      </c>
      <c r="O3" s="18" t="n">
        <f aca="false">AVERAGE(I2:I76)</f>
        <v>0.6764705882</v>
      </c>
      <c r="P3" s="3" t="s">
        <v>111</v>
      </c>
      <c r="Q3" s="18" t="n">
        <f aca="false">COUNT(I$2:I$76)/COUNTA($A$2:$A$76)</f>
        <v>0.9066666667</v>
      </c>
    </row>
    <row r="4" customFormat="false" ht="13.8" hidden="false" customHeight="false" outlineLevel="0" collapsed="false">
      <c r="A4" s="3" t="s">
        <v>194</v>
      </c>
      <c r="B4" s="3" t="s">
        <v>150</v>
      </c>
      <c r="C4" s="3" t="s">
        <v>153</v>
      </c>
      <c r="D4" s="25" t="s">
        <v>891</v>
      </c>
      <c r="E4" s="3" t="s">
        <v>164</v>
      </c>
      <c r="F4" s="3" t="s">
        <v>63</v>
      </c>
      <c r="H4" s="3" t="s">
        <v>55</v>
      </c>
      <c r="I4" s="13" t="n">
        <f aca="false">IF(L4=E4,1,0)</f>
        <v>1</v>
      </c>
      <c r="J4" s="13" t="n">
        <f aca="false">IF(M4=F4,1,0)</f>
        <v>0</v>
      </c>
      <c r="L4" s="3" t="s">
        <v>164</v>
      </c>
      <c r="M4" s="3" t="s">
        <v>154</v>
      </c>
      <c r="O4" s="18" t="n">
        <f aca="false">AVERAGE(J2:J76)</f>
        <v>0.5</v>
      </c>
      <c r="P4" s="3" t="s">
        <v>114</v>
      </c>
      <c r="Q4" s="18" t="n">
        <f aca="false">COUNT(J$2:J$76)/COUNTA($A$2:$A$76)</f>
        <v>0.9066666667</v>
      </c>
    </row>
    <row r="5" customFormat="false" ht="13.8" hidden="false" customHeight="false" outlineLevel="0" collapsed="false">
      <c r="A5" s="3" t="s">
        <v>125</v>
      </c>
      <c r="B5" s="3" t="s">
        <v>105</v>
      </c>
      <c r="C5" s="3" t="s">
        <v>55</v>
      </c>
      <c r="D5" s="25" t="s">
        <v>482</v>
      </c>
      <c r="E5" s="3" t="s">
        <v>143</v>
      </c>
      <c r="F5" s="3" t="s">
        <v>160</v>
      </c>
      <c r="H5" s="3" t="s">
        <v>154</v>
      </c>
      <c r="I5" s="13" t="n">
        <f aca="false">IF(L5=E5,1,0)</f>
        <v>0</v>
      </c>
      <c r="J5" s="13" t="n">
        <f aca="false">IF(M5=F5,1,0)</f>
        <v>0</v>
      </c>
      <c r="L5" s="3" t="s">
        <v>105</v>
      </c>
      <c r="M5" s="3" t="s">
        <v>55</v>
      </c>
    </row>
    <row r="6" customFormat="false" ht="13.8" hidden="false" customHeight="false" outlineLevel="0" collapsed="false">
      <c r="A6" s="3" t="s">
        <v>139</v>
      </c>
      <c r="B6" s="3" t="s">
        <v>105</v>
      </c>
      <c r="C6" s="3" t="s">
        <v>55</v>
      </c>
      <c r="D6" s="25" t="s">
        <v>482</v>
      </c>
      <c r="E6" s="3" t="s">
        <v>105</v>
      </c>
      <c r="F6" s="3" t="s">
        <v>55</v>
      </c>
      <c r="H6" s="3" t="s">
        <v>59</v>
      </c>
      <c r="I6" s="13" t="n">
        <f aca="false">IF(L6=E6,1,0)</f>
        <v>1</v>
      </c>
      <c r="J6" s="13" t="n">
        <f aca="false">IF(M6=F6,1,0)</f>
        <v>1</v>
      </c>
      <c r="L6" s="3" t="s">
        <v>105</v>
      </c>
      <c r="M6" s="3" t="s">
        <v>55</v>
      </c>
    </row>
    <row r="7" customFormat="false" ht="13.8" hidden="false" customHeight="false" outlineLevel="0" collapsed="false">
      <c r="A7" s="3" t="s">
        <v>119</v>
      </c>
      <c r="B7" s="3" t="s">
        <v>105</v>
      </c>
      <c r="C7" s="3" t="s">
        <v>55</v>
      </c>
      <c r="D7" s="25" t="s">
        <v>482</v>
      </c>
      <c r="E7" s="3" t="s">
        <v>105</v>
      </c>
      <c r="F7" s="3" t="s">
        <v>55</v>
      </c>
      <c r="H7" s="3" t="s">
        <v>160</v>
      </c>
      <c r="I7" s="13" t="n">
        <f aca="false">IF(L7=E7,1,0)</f>
        <v>1</v>
      </c>
      <c r="J7" s="13" t="n">
        <f aca="false">IF(M7=F7,1,0)</f>
        <v>1</v>
      </c>
      <c r="L7" s="3" t="s">
        <v>105</v>
      </c>
      <c r="M7" s="3" t="s">
        <v>55</v>
      </c>
    </row>
    <row r="8" customFormat="false" ht="13.8" hidden="false" customHeight="false" outlineLevel="0" collapsed="false">
      <c r="A8" s="3" t="s">
        <v>155</v>
      </c>
      <c r="B8" s="3" t="s">
        <v>105</v>
      </c>
      <c r="C8" s="3" t="s">
        <v>55</v>
      </c>
      <c r="D8" s="25" t="s">
        <v>482</v>
      </c>
      <c r="E8" s="3" t="s">
        <v>105</v>
      </c>
      <c r="F8" s="3" t="s">
        <v>55</v>
      </c>
      <c r="H8" s="3" t="s">
        <v>61</v>
      </c>
      <c r="I8" s="13" t="n">
        <f aca="false">IF(L8=E8,1,0)</f>
        <v>1</v>
      </c>
      <c r="J8" s="13" t="n">
        <f aca="false">IF(M8=F8,1,0)</f>
        <v>1</v>
      </c>
      <c r="L8" s="3" t="s">
        <v>105</v>
      </c>
      <c r="M8" s="3" t="s">
        <v>55</v>
      </c>
    </row>
    <row r="9" customFormat="false" ht="13.8" hidden="false" customHeight="false" outlineLevel="0" collapsed="false">
      <c r="A9" s="3" t="s">
        <v>128</v>
      </c>
      <c r="B9" s="3" t="s">
        <v>105</v>
      </c>
      <c r="C9" s="3" t="s">
        <v>55</v>
      </c>
      <c r="D9" s="25" t="s">
        <v>482</v>
      </c>
      <c r="E9" s="3" t="s">
        <v>105</v>
      </c>
      <c r="F9" s="3" t="s">
        <v>55</v>
      </c>
      <c r="H9" s="3" t="s">
        <v>893</v>
      </c>
      <c r="I9" s="13" t="n">
        <f aca="false">IF(L9=E9,1,0)</f>
        <v>1</v>
      </c>
      <c r="J9" s="13" t="n">
        <f aca="false">IF(M9=F9,1,0)</f>
        <v>1</v>
      </c>
      <c r="L9" s="3" t="s">
        <v>105</v>
      </c>
      <c r="M9" s="3" t="s">
        <v>55</v>
      </c>
    </row>
    <row r="10" customFormat="false" ht="13.8" hidden="false" customHeight="false" outlineLevel="0" collapsed="false">
      <c r="A10" s="3" t="s">
        <v>115</v>
      </c>
      <c r="B10" s="3" t="s">
        <v>105</v>
      </c>
      <c r="C10" s="3" t="s">
        <v>55</v>
      </c>
      <c r="D10" s="25" t="s">
        <v>891</v>
      </c>
      <c r="E10" s="3" t="s">
        <v>164</v>
      </c>
      <c r="F10" s="3" t="s">
        <v>154</v>
      </c>
      <c r="H10" s="3" t="s">
        <v>63</v>
      </c>
      <c r="I10" s="13" t="n">
        <f aca="false">IF(L10=E10,1,0)</f>
        <v>0</v>
      </c>
      <c r="J10" s="13" t="n">
        <f aca="false">IF(M10=F10,1,0)</f>
        <v>0</v>
      </c>
      <c r="L10" s="3" t="s">
        <v>105</v>
      </c>
      <c r="M10" s="3" t="s">
        <v>55</v>
      </c>
    </row>
    <row r="11" customFormat="false" ht="13.8" hidden="false" customHeight="false" outlineLevel="0" collapsed="false">
      <c r="A11" s="3" t="s">
        <v>116</v>
      </c>
      <c r="B11" s="3" t="s">
        <v>105</v>
      </c>
      <c r="C11" s="3" t="s">
        <v>55</v>
      </c>
      <c r="D11" s="25" t="s">
        <v>891</v>
      </c>
      <c r="E11" s="3" t="s">
        <v>164</v>
      </c>
      <c r="F11" s="3" t="s">
        <v>154</v>
      </c>
      <c r="H11" s="3" t="s">
        <v>81</v>
      </c>
      <c r="I11" s="13" t="n">
        <f aca="false">IF(L11=E11,1,0)</f>
        <v>0</v>
      </c>
      <c r="J11" s="13" t="n">
        <f aca="false">IF(M11=F11,1,0)</f>
        <v>0</v>
      </c>
      <c r="L11" s="3" t="s">
        <v>105</v>
      </c>
      <c r="M11" s="3" t="s">
        <v>55</v>
      </c>
    </row>
    <row r="12" customFormat="false" ht="13.8" hidden="false" customHeight="false" outlineLevel="0" collapsed="false">
      <c r="A12" s="3" t="s">
        <v>156</v>
      </c>
      <c r="B12" s="3" t="s">
        <v>105</v>
      </c>
      <c r="C12" s="3" t="s">
        <v>55</v>
      </c>
      <c r="D12" s="25" t="s">
        <v>482</v>
      </c>
      <c r="E12" s="3" t="s">
        <v>105</v>
      </c>
      <c r="F12" s="3" t="s">
        <v>61</v>
      </c>
      <c r="H12" s="3" t="s">
        <v>894</v>
      </c>
      <c r="I12" s="13" t="n">
        <f aca="false">IF(L12=E12,1,0)</f>
        <v>1</v>
      </c>
      <c r="J12" s="13" t="n">
        <f aca="false">IF(M12=F12,1,0)</f>
        <v>0</v>
      </c>
      <c r="L12" s="3" t="s">
        <v>105</v>
      </c>
      <c r="M12" s="3" t="s">
        <v>55</v>
      </c>
    </row>
    <row r="13" customFormat="false" ht="13.8" hidden="false" customHeight="false" outlineLevel="0" collapsed="false">
      <c r="A13" s="3" t="s">
        <v>121</v>
      </c>
      <c r="B13" s="3" t="s">
        <v>105</v>
      </c>
      <c r="C13" s="3" t="s">
        <v>55</v>
      </c>
      <c r="D13" s="25" t="s">
        <v>891</v>
      </c>
      <c r="E13" s="3" t="s">
        <v>164</v>
      </c>
      <c r="F13" s="3" t="s">
        <v>154</v>
      </c>
      <c r="H13" s="3" t="s">
        <v>895</v>
      </c>
      <c r="I13" s="13" t="n">
        <f aca="false">IF(L13=E13,1,0)</f>
        <v>0</v>
      </c>
      <c r="J13" s="13" t="n">
        <f aca="false">IF(M13=F13,1,0)</f>
        <v>0</v>
      </c>
      <c r="L13" s="3" t="s">
        <v>105</v>
      </c>
      <c r="M13" s="3" t="s">
        <v>55</v>
      </c>
    </row>
    <row r="14" customFormat="false" ht="13.8" hidden="false" customHeight="false" outlineLevel="0" collapsed="false">
      <c r="A14" s="3" t="s">
        <v>167</v>
      </c>
      <c r="B14" s="3" t="s">
        <v>105</v>
      </c>
      <c r="C14" s="3" t="s">
        <v>55</v>
      </c>
      <c r="D14" s="25" t="s">
        <v>482</v>
      </c>
      <c r="E14" s="3" t="s">
        <v>143</v>
      </c>
      <c r="F14" s="3" t="s">
        <v>160</v>
      </c>
      <c r="I14" s="13" t="n">
        <f aca="false">IF(L14=E14,1,0)</f>
        <v>0</v>
      </c>
      <c r="J14" s="13" t="n">
        <f aca="false">IF(M14=F14,1,0)</f>
        <v>0</v>
      </c>
      <c r="L14" s="3" t="s">
        <v>105</v>
      </c>
      <c r="M14" s="3" t="s">
        <v>55</v>
      </c>
    </row>
    <row r="15" customFormat="false" ht="13.8" hidden="false" customHeight="false" outlineLevel="0" collapsed="false">
      <c r="A15" s="3" t="s">
        <v>176</v>
      </c>
      <c r="B15" s="3" t="s">
        <v>105</v>
      </c>
      <c r="C15" s="3" t="s">
        <v>55</v>
      </c>
      <c r="D15" s="25" t="s">
        <v>482</v>
      </c>
      <c r="E15" s="3" t="s">
        <v>105</v>
      </c>
      <c r="F15" s="3" t="s">
        <v>61</v>
      </c>
      <c r="I15" s="13" t="n">
        <f aca="false">IF(L15=E15,1,0)</f>
        <v>1</v>
      </c>
      <c r="J15" s="13" t="n">
        <f aca="false">IF(M15=F15,1,0)</f>
        <v>0</v>
      </c>
      <c r="L15" s="3" t="s">
        <v>105</v>
      </c>
      <c r="M15" s="3" t="s">
        <v>55</v>
      </c>
    </row>
    <row r="16" customFormat="false" ht="13.8" hidden="false" customHeight="false" outlineLevel="0" collapsed="false">
      <c r="A16" s="3" t="s">
        <v>189</v>
      </c>
      <c r="B16" s="3" t="s">
        <v>105</v>
      </c>
      <c r="C16" s="3" t="s">
        <v>55</v>
      </c>
      <c r="D16" s="25" t="s">
        <v>482</v>
      </c>
      <c r="E16" s="3" t="s">
        <v>105</v>
      </c>
      <c r="F16" s="3" t="s">
        <v>55</v>
      </c>
      <c r="I16" s="13" t="n">
        <f aca="false">IF(L16=E16,1,0)</f>
        <v>1</v>
      </c>
      <c r="J16" s="13" t="n">
        <f aca="false">IF(M16=F16,1,0)</f>
        <v>1</v>
      </c>
      <c r="L16" s="3" t="s">
        <v>105</v>
      </c>
      <c r="M16" s="3" t="s">
        <v>55</v>
      </c>
    </row>
    <row r="17" customFormat="false" ht="13.8" hidden="false" customHeight="false" outlineLevel="0" collapsed="false">
      <c r="A17" s="3" t="s">
        <v>187</v>
      </c>
      <c r="B17" s="3" t="s">
        <v>105</v>
      </c>
      <c r="C17" s="3" t="s">
        <v>55</v>
      </c>
      <c r="D17" s="25" t="s">
        <v>896</v>
      </c>
      <c r="E17" s="3"/>
      <c r="F17" s="3"/>
      <c r="L17" s="3" t="s">
        <v>105</v>
      </c>
      <c r="M17" s="3" t="s">
        <v>55</v>
      </c>
    </row>
    <row r="18" customFormat="false" ht="13.8" hidden="false" customHeight="false" outlineLevel="0" collapsed="false">
      <c r="A18" s="3" t="s">
        <v>136</v>
      </c>
      <c r="B18" s="3" t="s">
        <v>105</v>
      </c>
      <c r="C18" s="3" t="s">
        <v>55</v>
      </c>
      <c r="D18" s="25" t="s">
        <v>482</v>
      </c>
      <c r="E18" s="3" t="s">
        <v>105</v>
      </c>
      <c r="F18" s="3" t="s">
        <v>55</v>
      </c>
      <c r="I18" s="13" t="n">
        <f aca="false">IF(L18=E18,1,0)</f>
        <v>1</v>
      </c>
      <c r="J18" s="13" t="n">
        <f aca="false">IF(M18=F18,1,0)</f>
        <v>1</v>
      </c>
      <c r="L18" s="3" t="s">
        <v>105</v>
      </c>
      <c r="M18" s="3" t="s">
        <v>55</v>
      </c>
    </row>
    <row r="19" customFormat="false" ht="13.8" hidden="false" customHeight="false" outlineLevel="0" collapsed="false">
      <c r="A19" s="3" t="s">
        <v>157</v>
      </c>
      <c r="B19" s="3" t="s">
        <v>105</v>
      </c>
      <c r="C19" s="3" t="s">
        <v>55</v>
      </c>
      <c r="D19" s="25" t="s">
        <v>896</v>
      </c>
      <c r="E19" s="3"/>
      <c r="F19" s="3"/>
      <c r="L19" s="3" t="s">
        <v>105</v>
      </c>
      <c r="M19" s="3" t="s">
        <v>55</v>
      </c>
    </row>
    <row r="20" customFormat="false" ht="13.8" hidden="false" customHeight="false" outlineLevel="0" collapsed="false">
      <c r="A20" s="3" t="s">
        <v>185</v>
      </c>
      <c r="B20" s="3" t="s">
        <v>105</v>
      </c>
      <c r="C20" s="3" t="s">
        <v>55</v>
      </c>
      <c r="D20" s="25" t="s">
        <v>482</v>
      </c>
      <c r="E20" s="3" t="s">
        <v>105</v>
      </c>
      <c r="F20" s="3" t="s">
        <v>55</v>
      </c>
      <c r="I20" s="13" t="n">
        <f aca="false">IF(L20=E20,1,0)</f>
        <v>1</v>
      </c>
      <c r="J20" s="13" t="n">
        <f aca="false">IF(M20=F20,1,0)</f>
        <v>1</v>
      </c>
      <c r="L20" s="3" t="s">
        <v>105</v>
      </c>
      <c r="M20" s="3" t="s">
        <v>55</v>
      </c>
    </row>
    <row r="21" customFormat="false" ht="13.8" hidden="false" customHeight="false" outlineLevel="0" collapsed="false">
      <c r="A21" s="3" t="s">
        <v>118</v>
      </c>
      <c r="B21" s="3" t="s">
        <v>105</v>
      </c>
      <c r="C21" s="3" t="s">
        <v>55</v>
      </c>
      <c r="D21" s="25" t="s">
        <v>482</v>
      </c>
      <c r="E21" s="3" t="s">
        <v>105</v>
      </c>
      <c r="F21" s="3" t="s">
        <v>55</v>
      </c>
      <c r="I21" s="13" t="n">
        <f aca="false">IF(L21=E21,1,0)</f>
        <v>1</v>
      </c>
      <c r="J21" s="13" t="n">
        <f aca="false">IF(M21=F21,1,0)</f>
        <v>1</v>
      </c>
      <c r="L21" s="3" t="s">
        <v>105</v>
      </c>
      <c r="M21" s="3" t="s">
        <v>55</v>
      </c>
    </row>
    <row r="22" customFormat="false" ht="13.8" hidden="false" customHeight="false" outlineLevel="0" collapsed="false">
      <c r="A22" s="3" t="s">
        <v>162</v>
      </c>
      <c r="B22" s="3" t="s">
        <v>105</v>
      </c>
      <c r="C22" s="3" t="s">
        <v>55</v>
      </c>
      <c r="D22" s="25" t="s">
        <v>482</v>
      </c>
      <c r="E22" s="3" t="s">
        <v>105</v>
      </c>
      <c r="F22" s="3" t="s">
        <v>55</v>
      </c>
      <c r="I22" s="13" t="n">
        <f aca="false">IF(L22=E22,1,0)</f>
        <v>1</v>
      </c>
      <c r="J22" s="13" t="n">
        <f aca="false">IF(M22=F22,1,0)</f>
        <v>1</v>
      </c>
      <c r="L22" s="3" t="s">
        <v>105</v>
      </c>
      <c r="M22" s="3" t="s">
        <v>55</v>
      </c>
    </row>
    <row r="23" customFormat="false" ht="13.8" hidden="false" customHeight="false" outlineLevel="0" collapsed="false">
      <c r="A23" s="3" t="s">
        <v>141</v>
      </c>
      <c r="B23" s="3" t="s">
        <v>105</v>
      </c>
      <c r="C23" s="3" t="s">
        <v>55</v>
      </c>
      <c r="D23" s="25" t="s">
        <v>482</v>
      </c>
      <c r="E23" s="3" t="s">
        <v>105</v>
      </c>
      <c r="F23" s="3" t="s">
        <v>55</v>
      </c>
      <c r="I23" s="13" t="n">
        <f aca="false">IF(L23=E23,1,0)</f>
        <v>1</v>
      </c>
      <c r="J23" s="13" t="n">
        <f aca="false">IF(M23=F23,1,0)</f>
        <v>1</v>
      </c>
      <c r="L23" s="3" t="s">
        <v>105</v>
      </c>
      <c r="M23" s="3" t="s">
        <v>55</v>
      </c>
    </row>
    <row r="24" customFormat="false" ht="13.8" hidden="false" customHeight="false" outlineLevel="0" collapsed="false">
      <c r="A24" s="3" t="s">
        <v>124</v>
      </c>
      <c r="B24" s="3" t="s">
        <v>105</v>
      </c>
      <c r="C24" s="3" t="s">
        <v>55</v>
      </c>
      <c r="D24" s="25" t="s">
        <v>891</v>
      </c>
      <c r="E24" s="3" t="s">
        <v>164</v>
      </c>
      <c r="F24" s="3" t="s">
        <v>154</v>
      </c>
      <c r="I24" s="13" t="n">
        <f aca="false">IF(L24=E24,1,0)</f>
        <v>0</v>
      </c>
      <c r="J24" s="13" t="n">
        <f aca="false">IF(M24=F24,1,0)</f>
        <v>0</v>
      </c>
      <c r="L24" s="3" t="s">
        <v>105</v>
      </c>
      <c r="M24" s="3" t="s">
        <v>55</v>
      </c>
    </row>
    <row r="25" customFormat="false" ht="13.8" hidden="false" customHeight="false" outlineLevel="0" collapsed="false">
      <c r="A25" s="3" t="s">
        <v>135</v>
      </c>
      <c r="B25" s="3" t="s">
        <v>105</v>
      </c>
      <c r="C25" s="3" t="s">
        <v>55</v>
      </c>
      <c r="D25" s="25" t="s">
        <v>482</v>
      </c>
      <c r="E25" s="3" t="s">
        <v>105</v>
      </c>
      <c r="F25" s="3" t="s">
        <v>61</v>
      </c>
      <c r="I25" s="13" t="n">
        <f aca="false">IF(L25=E25,1,0)</f>
        <v>1</v>
      </c>
      <c r="J25" s="13" t="n">
        <f aca="false">IF(M25=F25,1,0)</f>
        <v>0</v>
      </c>
      <c r="L25" s="3" t="s">
        <v>105</v>
      </c>
      <c r="M25" s="3" t="s">
        <v>55</v>
      </c>
    </row>
    <row r="26" customFormat="false" ht="13.8" hidden="false" customHeight="false" outlineLevel="0" collapsed="false">
      <c r="A26" s="3" t="s">
        <v>137</v>
      </c>
      <c r="B26" s="3" t="s">
        <v>105</v>
      </c>
      <c r="C26" s="3" t="s">
        <v>55</v>
      </c>
      <c r="D26" s="25" t="s">
        <v>482</v>
      </c>
      <c r="E26" s="3" t="s">
        <v>143</v>
      </c>
      <c r="F26" s="3" t="s">
        <v>160</v>
      </c>
      <c r="I26" s="13" t="n">
        <f aca="false">IF(L26=E26,1,0)</f>
        <v>0</v>
      </c>
      <c r="J26" s="13" t="n">
        <f aca="false">IF(M26=F26,1,0)</f>
        <v>0</v>
      </c>
      <c r="L26" s="3" t="s">
        <v>105</v>
      </c>
      <c r="M26" s="3" t="s">
        <v>55</v>
      </c>
    </row>
    <row r="27" customFormat="false" ht="13.8" hidden="false" customHeight="false" outlineLevel="0" collapsed="false">
      <c r="A27" s="3" t="s">
        <v>195</v>
      </c>
      <c r="B27" s="3" t="s">
        <v>105</v>
      </c>
      <c r="C27" s="3" t="s">
        <v>55</v>
      </c>
      <c r="D27" s="25" t="s">
        <v>482</v>
      </c>
      <c r="E27" s="3" t="s">
        <v>105</v>
      </c>
      <c r="F27" s="3" t="s">
        <v>55</v>
      </c>
      <c r="I27" s="13" t="n">
        <f aca="false">IF(L27=E27,1,0)</f>
        <v>1</v>
      </c>
      <c r="J27" s="13" t="n">
        <f aca="false">IF(M27=F27,1,0)</f>
        <v>1</v>
      </c>
      <c r="L27" s="3" t="s">
        <v>105</v>
      </c>
      <c r="M27" s="3" t="s">
        <v>55</v>
      </c>
    </row>
    <row r="28" customFormat="false" ht="13.8" hidden="false" customHeight="false" outlineLevel="0" collapsed="false">
      <c r="A28" s="3" t="s">
        <v>163</v>
      </c>
      <c r="B28" s="3" t="s">
        <v>105</v>
      </c>
      <c r="C28" s="3" t="s">
        <v>55</v>
      </c>
      <c r="D28" s="25" t="s">
        <v>482</v>
      </c>
      <c r="E28" s="3" t="s">
        <v>143</v>
      </c>
      <c r="F28" s="3" t="s">
        <v>160</v>
      </c>
      <c r="I28" s="13" t="n">
        <f aca="false">IF(L28=E28,1,0)</f>
        <v>0</v>
      </c>
      <c r="J28" s="13" t="n">
        <f aca="false">IF(M28=F28,1,0)</f>
        <v>0</v>
      </c>
      <c r="L28" s="3" t="s">
        <v>105</v>
      </c>
      <c r="M28" s="3" t="s">
        <v>55</v>
      </c>
    </row>
    <row r="29" customFormat="false" ht="13.8" hidden="false" customHeight="false" outlineLevel="0" collapsed="false">
      <c r="A29" s="3" t="s">
        <v>184</v>
      </c>
      <c r="B29" s="3" t="s">
        <v>105</v>
      </c>
      <c r="C29" s="3" t="s">
        <v>55</v>
      </c>
      <c r="D29" s="25" t="s">
        <v>891</v>
      </c>
      <c r="E29" s="3" t="s">
        <v>164</v>
      </c>
      <c r="F29" s="3" t="s">
        <v>63</v>
      </c>
      <c r="I29" s="13" t="n">
        <f aca="false">IF(L29=E29,1,0)</f>
        <v>0</v>
      </c>
      <c r="J29" s="13" t="n">
        <f aca="false">IF(M29=F29,1,0)</f>
        <v>0</v>
      </c>
      <c r="L29" s="3" t="s">
        <v>105</v>
      </c>
      <c r="M29" s="3" t="s">
        <v>55</v>
      </c>
    </row>
    <row r="30" customFormat="false" ht="13.8" hidden="false" customHeight="false" outlineLevel="0" collapsed="false">
      <c r="A30" s="3" t="s">
        <v>190</v>
      </c>
      <c r="B30" s="3" t="s">
        <v>105</v>
      </c>
      <c r="C30" s="3" t="s">
        <v>55</v>
      </c>
      <c r="D30" s="25" t="s">
        <v>891</v>
      </c>
      <c r="E30" s="3" t="s">
        <v>164</v>
      </c>
      <c r="F30" s="3" t="s">
        <v>154</v>
      </c>
      <c r="I30" s="13" t="n">
        <f aca="false">IF(L30=E30,1,0)</f>
        <v>0</v>
      </c>
      <c r="J30" s="13" t="n">
        <f aca="false">IF(M30=F30,1,0)</f>
        <v>0</v>
      </c>
      <c r="L30" s="3" t="s">
        <v>105</v>
      </c>
      <c r="M30" s="3" t="s">
        <v>55</v>
      </c>
    </row>
    <row r="31" customFormat="false" ht="13.8" hidden="false" customHeight="false" outlineLevel="0" collapsed="false">
      <c r="A31" s="3" t="s">
        <v>104</v>
      </c>
      <c r="B31" s="3" t="s">
        <v>105</v>
      </c>
      <c r="C31" s="3" t="s">
        <v>61</v>
      </c>
      <c r="D31" s="25" t="s">
        <v>482</v>
      </c>
      <c r="E31" s="3" t="s">
        <v>105</v>
      </c>
      <c r="F31" s="3" t="s">
        <v>61</v>
      </c>
      <c r="I31" s="13" t="n">
        <f aca="false">IF(L31=E31,1,0)</f>
        <v>1</v>
      </c>
      <c r="J31" s="13" t="n">
        <f aca="false">IF(M31=F31,1,0)</f>
        <v>1</v>
      </c>
      <c r="L31" s="3" t="s">
        <v>105</v>
      </c>
      <c r="M31" s="3" t="s">
        <v>61</v>
      </c>
    </row>
    <row r="32" customFormat="false" ht="13.8" hidden="false" customHeight="false" outlineLevel="0" collapsed="false">
      <c r="A32" s="3" t="s">
        <v>171</v>
      </c>
      <c r="B32" s="3" t="s">
        <v>105</v>
      </c>
      <c r="C32" s="3" t="s">
        <v>61</v>
      </c>
      <c r="D32" s="25" t="s">
        <v>482</v>
      </c>
      <c r="E32" s="3" t="s">
        <v>105</v>
      </c>
      <c r="F32" s="3" t="s">
        <v>55</v>
      </c>
      <c r="I32" s="13" t="n">
        <f aca="false">IF(L32=E32,1,0)</f>
        <v>1</v>
      </c>
      <c r="J32" s="13" t="n">
        <f aca="false">IF(M32=F32,1,0)</f>
        <v>0</v>
      </c>
      <c r="L32" s="3" t="s">
        <v>105</v>
      </c>
      <c r="M32" s="3" t="s">
        <v>61</v>
      </c>
    </row>
    <row r="33" customFormat="false" ht="13.8" hidden="false" customHeight="false" outlineLevel="0" collapsed="false">
      <c r="A33" s="3" t="s">
        <v>138</v>
      </c>
      <c r="B33" s="3" t="s">
        <v>105</v>
      </c>
      <c r="C33" s="3" t="s">
        <v>61</v>
      </c>
      <c r="D33" s="25" t="s">
        <v>482</v>
      </c>
      <c r="E33" s="3" t="s">
        <v>105</v>
      </c>
      <c r="F33" s="3" t="s">
        <v>61</v>
      </c>
      <c r="I33" s="13" t="n">
        <f aca="false">IF(L33=E33,1,0)</f>
        <v>1</v>
      </c>
      <c r="J33" s="13" t="n">
        <f aca="false">IF(M33=F33,1,0)</f>
        <v>1</v>
      </c>
      <c r="L33" s="3" t="s">
        <v>105</v>
      </c>
      <c r="M33" s="3" t="s">
        <v>61</v>
      </c>
    </row>
    <row r="34" customFormat="false" ht="13.8" hidden="false" customHeight="false" outlineLevel="0" collapsed="false">
      <c r="A34" s="3" t="s">
        <v>140</v>
      </c>
      <c r="B34" s="3" t="s">
        <v>105</v>
      </c>
      <c r="C34" s="3" t="s">
        <v>61</v>
      </c>
      <c r="D34" s="25" t="s">
        <v>482</v>
      </c>
      <c r="E34" s="3" t="s">
        <v>105</v>
      </c>
      <c r="F34" s="3" t="s">
        <v>61</v>
      </c>
      <c r="I34" s="13" t="n">
        <f aca="false">IF(L34=E34,1,0)</f>
        <v>1</v>
      </c>
      <c r="J34" s="13" t="n">
        <f aca="false">IF(M34=F34,1,0)</f>
        <v>1</v>
      </c>
      <c r="L34" s="3" t="s">
        <v>105</v>
      </c>
      <c r="M34" s="3" t="s">
        <v>61</v>
      </c>
    </row>
    <row r="35" customFormat="false" ht="13.8" hidden="false" customHeight="false" outlineLevel="0" collapsed="false">
      <c r="A35" s="3" t="s">
        <v>158</v>
      </c>
      <c r="B35" s="3" t="s">
        <v>105</v>
      </c>
      <c r="C35" s="3" t="s">
        <v>61</v>
      </c>
      <c r="D35" s="25" t="s">
        <v>482</v>
      </c>
      <c r="E35" s="3" t="s">
        <v>105</v>
      </c>
      <c r="F35" s="3" t="s">
        <v>55</v>
      </c>
      <c r="I35" s="13" t="n">
        <f aca="false">IF(L35=E35,1,0)</f>
        <v>1</v>
      </c>
      <c r="J35" s="13" t="n">
        <f aca="false">IF(M35=F35,1,0)</f>
        <v>0</v>
      </c>
      <c r="L35" s="3" t="s">
        <v>105</v>
      </c>
      <c r="M35" s="3" t="s">
        <v>61</v>
      </c>
    </row>
    <row r="36" customFormat="false" ht="13.8" hidden="false" customHeight="false" outlineLevel="0" collapsed="false">
      <c r="A36" s="3" t="s">
        <v>109</v>
      </c>
      <c r="B36" s="3" t="s">
        <v>105</v>
      </c>
      <c r="C36" s="3" t="s">
        <v>61</v>
      </c>
      <c r="D36" s="25" t="s">
        <v>482</v>
      </c>
      <c r="E36" s="3" t="s">
        <v>105</v>
      </c>
      <c r="F36" s="3" t="s">
        <v>55</v>
      </c>
      <c r="I36" s="13" t="n">
        <f aca="false">IF(L36=E36,1,0)</f>
        <v>1</v>
      </c>
      <c r="J36" s="13" t="n">
        <f aca="false">IF(M36=F36,1,0)</f>
        <v>0</v>
      </c>
      <c r="L36" s="3" t="s">
        <v>105</v>
      </c>
      <c r="M36" s="3" t="s">
        <v>61</v>
      </c>
    </row>
    <row r="37" customFormat="false" ht="13.8" hidden="false" customHeight="false" outlineLevel="0" collapsed="false">
      <c r="A37" s="3" t="s">
        <v>172</v>
      </c>
      <c r="B37" s="3" t="s">
        <v>105</v>
      </c>
      <c r="C37" s="3" t="s">
        <v>61</v>
      </c>
      <c r="D37" s="25" t="s">
        <v>482</v>
      </c>
      <c r="E37" s="3" t="s">
        <v>105</v>
      </c>
      <c r="F37" s="3" t="s">
        <v>61</v>
      </c>
      <c r="I37" s="13" t="n">
        <f aca="false">IF(L37=E37,1,0)</f>
        <v>1</v>
      </c>
      <c r="J37" s="13" t="n">
        <f aca="false">IF(M37=F37,1,0)</f>
        <v>1</v>
      </c>
      <c r="L37" s="3" t="s">
        <v>105</v>
      </c>
      <c r="M37" s="3" t="s">
        <v>61</v>
      </c>
    </row>
    <row r="38" customFormat="false" ht="13.8" hidden="false" customHeight="false" outlineLevel="0" collapsed="false">
      <c r="A38" s="3" t="s">
        <v>122</v>
      </c>
      <c r="B38" s="3" t="s">
        <v>105</v>
      </c>
      <c r="C38" s="3" t="s">
        <v>61</v>
      </c>
      <c r="D38" s="25" t="s">
        <v>482</v>
      </c>
      <c r="E38" s="3" t="s">
        <v>105</v>
      </c>
      <c r="F38" s="3" t="s">
        <v>55</v>
      </c>
      <c r="I38" s="13" t="n">
        <f aca="false">IF(L38=E38,1,0)</f>
        <v>1</v>
      </c>
      <c r="J38" s="13" t="n">
        <f aca="false">IF(M38=F38,1,0)</f>
        <v>0</v>
      </c>
      <c r="L38" s="3" t="s">
        <v>105</v>
      </c>
      <c r="M38" s="3" t="s">
        <v>61</v>
      </c>
    </row>
    <row r="39" customFormat="false" ht="13.8" hidden="false" customHeight="false" outlineLevel="0" collapsed="false">
      <c r="A39" s="3" t="s">
        <v>173</v>
      </c>
      <c r="B39" s="3" t="s">
        <v>105</v>
      </c>
      <c r="C39" s="3" t="s">
        <v>61</v>
      </c>
      <c r="D39" s="25" t="s">
        <v>482</v>
      </c>
      <c r="E39" s="3" t="s">
        <v>143</v>
      </c>
      <c r="F39" s="3" t="s">
        <v>160</v>
      </c>
      <c r="I39" s="13" t="n">
        <f aca="false">IF(L39=E39,1,0)</f>
        <v>0</v>
      </c>
      <c r="J39" s="13" t="n">
        <f aca="false">IF(M39=F39,1,0)</f>
        <v>0</v>
      </c>
      <c r="L39" s="3" t="s">
        <v>105</v>
      </c>
      <c r="M39" s="3" t="s">
        <v>61</v>
      </c>
    </row>
    <row r="40" customFormat="false" ht="13.8" hidden="false" customHeight="false" outlineLevel="0" collapsed="false">
      <c r="A40" s="3" t="s">
        <v>177</v>
      </c>
      <c r="B40" s="3" t="s">
        <v>105</v>
      </c>
      <c r="C40" s="3" t="s">
        <v>61</v>
      </c>
      <c r="D40" s="25" t="s">
        <v>482</v>
      </c>
      <c r="E40" s="3" t="s">
        <v>105</v>
      </c>
      <c r="F40" s="3" t="s">
        <v>61</v>
      </c>
      <c r="I40" s="13" t="n">
        <f aca="false">IF(L40=E40,1,0)</f>
        <v>1</v>
      </c>
      <c r="J40" s="13" t="n">
        <f aca="false">IF(M40=F40,1,0)</f>
        <v>1</v>
      </c>
      <c r="L40" s="3" t="s">
        <v>105</v>
      </c>
      <c r="M40" s="3" t="s">
        <v>61</v>
      </c>
    </row>
    <row r="41" customFormat="false" ht="13.8" hidden="false" customHeight="false" outlineLevel="0" collapsed="false">
      <c r="A41" s="3" t="s">
        <v>168</v>
      </c>
      <c r="B41" s="3" t="s">
        <v>105</v>
      </c>
      <c r="C41" s="3" t="s">
        <v>61</v>
      </c>
      <c r="D41" s="25" t="s">
        <v>482</v>
      </c>
      <c r="E41" s="3" t="s">
        <v>105</v>
      </c>
      <c r="F41" s="3" t="s">
        <v>61</v>
      </c>
      <c r="I41" s="13" t="n">
        <f aca="false">IF(L41=E41,1,0)</f>
        <v>1</v>
      </c>
      <c r="J41" s="13" t="n">
        <f aca="false">IF(M41=F41,1,0)</f>
        <v>1</v>
      </c>
      <c r="L41" s="3" t="s">
        <v>105</v>
      </c>
      <c r="M41" s="3" t="s">
        <v>61</v>
      </c>
    </row>
    <row r="42" customFormat="false" ht="13.8" hidden="false" customHeight="false" outlineLevel="0" collapsed="false">
      <c r="A42" s="3" t="s">
        <v>112</v>
      </c>
      <c r="B42" s="3" t="s">
        <v>105</v>
      </c>
      <c r="C42" s="3" t="s">
        <v>61</v>
      </c>
      <c r="D42" s="25" t="s">
        <v>482</v>
      </c>
      <c r="E42" s="3" t="s">
        <v>105</v>
      </c>
      <c r="F42" s="3" t="s">
        <v>55</v>
      </c>
      <c r="I42" s="13" t="n">
        <f aca="false">IF(L42=E42,1,0)</f>
        <v>1</v>
      </c>
      <c r="J42" s="13" t="n">
        <f aca="false">IF(M42=F42,1,0)</f>
        <v>0</v>
      </c>
      <c r="L42" s="3" t="s">
        <v>105</v>
      </c>
      <c r="M42" s="3" t="s">
        <v>61</v>
      </c>
    </row>
    <row r="43" customFormat="false" ht="13.8" hidden="false" customHeight="false" outlineLevel="0" collapsed="false">
      <c r="A43" s="3" t="s">
        <v>148</v>
      </c>
      <c r="B43" s="3" t="s">
        <v>105</v>
      </c>
      <c r="C43" s="3" t="s">
        <v>61</v>
      </c>
      <c r="D43" s="25" t="s">
        <v>482</v>
      </c>
      <c r="E43" s="3" t="s">
        <v>105</v>
      </c>
      <c r="F43" s="3" t="s">
        <v>55</v>
      </c>
      <c r="I43" s="13" t="n">
        <f aca="false">IF(L43=E43,1,0)</f>
        <v>1</v>
      </c>
      <c r="J43" s="13" t="n">
        <f aca="false">IF(M43=F43,1,0)</f>
        <v>0</v>
      </c>
      <c r="L43" s="3" t="s">
        <v>105</v>
      </c>
      <c r="M43" s="3" t="s">
        <v>61</v>
      </c>
    </row>
    <row r="44" customFormat="false" ht="13.8" hidden="false" customHeight="false" outlineLevel="0" collapsed="false">
      <c r="A44" s="3" t="s">
        <v>120</v>
      </c>
      <c r="B44" s="3" t="s">
        <v>105</v>
      </c>
      <c r="C44" s="3" t="s">
        <v>61</v>
      </c>
      <c r="D44" s="25" t="s">
        <v>482</v>
      </c>
      <c r="E44" s="3" t="s">
        <v>105</v>
      </c>
      <c r="F44" s="3" t="s">
        <v>61</v>
      </c>
      <c r="I44" s="13" t="n">
        <f aca="false">IF(L44=E44,1,0)</f>
        <v>1</v>
      </c>
      <c r="J44" s="13" t="n">
        <f aca="false">IF(M44=F44,1,0)</f>
        <v>1</v>
      </c>
      <c r="L44" s="3" t="s">
        <v>105</v>
      </c>
      <c r="M44" s="3" t="s">
        <v>61</v>
      </c>
    </row>
    <row r="45" customFormat="false" ht="13.8" hidden="false" customHeight="false" outlineLevel="0" collapsed="false">
      <c r="A45" s="3" t="s">
        <v>161</v>
      </c>
      <c r="B45" s="3" t="s">
        <v>105</v>
      </c>
      <c r="C45" s="3" t="s">
        <v>61</v>
      </c>
      <c r="D45" s="25" t="s">
        <v>482</v>
      </c>
      <c r="E45" s="3" t="s">
        <v>105</v>
      </c>
      <c r="F45" s="3" t="s">
        <v>61</v>
      </c>
      <c r="I45" s="13" t="n">
        <f aca="false">IF(L45=E45,1,0)</f>
        <v>1</v>
      </c>
      <c r="J45" s="13" t="n">
        <f aca="false">IF(M45=F45,1,0)</f>
        <v>1</v>
      </c>
      <c r="L45" s="3" t="s">
        <v>105</v>
      </c>
      <c r="M45" s="3" t="s">
        <v>61</v>
      </c>
    </row>
    <row r="46" customFormat="false" ht="13.8" hidden="false" customHeight="false" outlineLevel="0" collapsed="false">
      <c r="A46" s="3" t="s">
        <v>169</v>
      </c>
      <c r="B46" s="3" t="s">
        <v>105</v>
      </c>
      <c r="C46" s="3" t="s">
        <v>61</v>
      </c>
      <c r="D46" s="25" t="s">
        <v>482</v>
      </c>
      <c r="E46" s="3" t="s">
        <v>143</v>
      </c>
      <c r="F46" s="3" t="s">
        <v>160</v>
      </c>
      <c r="I46" s="13" t="n">
        <f aca="false">IF(L46=E46,1,0)</f>
        <v>0</v>
      </c>
      <c r="J46" s="13" t="n">
        <f aca="false">IF(M46=F46,1,0)</f>
        <v>0</v>
      </c>
      <c r="L46" s="3" t="s">
        <v>105</v>
      </c>
      <c r="M46" s="3" t="s">
        <v>61</v>
      </c>
    </row>
    <row r="47" customFormat="false" ht="13.8" hidden="false" customHeight="false" outlineLevel="0" collapsed="false">
      <c r="A47" s="3" t="s">
        <v>145</v>
      </c>
      <c r="B47" s="3" t="s">
        <v>105</v>
      </c>
      <c r="C47" s="3" t="s">
        <v>61</v>
      </c>
      <c r="D47" s="25" t="s">
        <v>482</v>
      </c>
      <c r="E47" s="3" t="s">
        <v>143</v>
      </c>
      <c r="F47" s="3" t="s">
        <v>160</v>
      </c>
      <c r="I47" s="13" t="n">
        <f aca="false">IF(L47=E47,1,0)</f>
        <v>0</v>
      </c>
      <c r="J47" s="13" t="n">
        <f aca="false">IF(M47=F47,1,0)</f>
        <v>0</v>
      </c>
      <c r="L47" s="3" t="s">
        <v>105</v>
      </c>
      <c r="M47" s="3" t="s">
        <v>61</v>
      </c>
    </row>
    <row r="48" customFormat="false" ht="13.8" hidden="false" customHeight="false" outlineLevel="0" collapsed="false">
      <c r="A48" s="3" t="s">
        <v>127</v>
      </c>
      <c r="B48" s="3" t="s">
        <v>105</v>
      </c>
      <c r="C48" s="3" t="s">
        <v>61</v>
      </c>
      <c r="D48" s="25" t="s">
        <v>891</v>
      </c>
      <c r="E48" s="3" t="s">
        <v>164</v>
      </c>
      <c r="F48" s="3" t="s">
        <v>154</v>
      </c>
      <c r="I48" s="13" t="n">
        <f aca="false">IF(L48=E48,1,0)</f>
        <v>0</v>
      </c>
      <c r="J48" s="13" t="n">
        <f aca="false">IF(M48=F48,1,0)</f>
        <v>0</v>
      </c>
      <c r="L48" s="3" t="s">
        <v>105</v>
      </c>
      <c r="M48" s="3" t="s">
        <v>61</v>
      </c>
    </row>
    <row r="49" customFormat="false" ht="13.8" hidden="false" customHeight="false" outlineLevel="0" collapsed="false">
      <c r="A49" s="3" t="s">
        <v>126</v>
      </c>
      <c r="B49" s="3" t="s">
        <v>105</v>
      </c>
      <c r="C49" s="3" t="s">
        <v>61</v>
      </c>
      <c r="D49" s="25" t="s">
        <v>482</v>
      </c>
      <c r="E49" s="3" t="s">
        <v>105</v>
      </c>
      <c r="F49" s="3" t="s">
        <v>61</v>
      </c>
      <c r="I49" s="13" t="n">
        <f aca="false">IF(L49=E49,1,0)</f>
        <v>1</v>
      </c>
      <c r="J49" s="13" t="n">
        <f aca="false">IF(M49=F49,1,0)</f>
        <v>1</v>
      </c>
      <c r="L49" s="3" t="s">
        <v>105</v>
      </c>
      <c r="M49" s="3" t="s">
        <v>61</v>
      </c>
    </row>
    <row r="50" customFormat="false" ht="13.8" hidden="false" customHeight="false" outlineLevel="0" collapsed="false">
      <c r="A50" s="3" t="s">
        <v>147</v>
      </c>
      <c r="B50" s="3" t="s">
        <v>105</v>
      </c>
      <c r="C50" s="3" t="s">
        <v>61</v>
      </c>
      <c r="D50" s="25" t="s">
        <v>482</v>
      </c>
      <c r="E50" s="3" t="s">
        <v>143</v>
      </c>
      <c r="F50" s="3" t="s">
        <v>160</v>
      </c>
      <c r="I50" s="13" t="n">
        <f aca="false">IF(L50=E50,1,0)</f>
        <v>0</v>
      </c>
      <c r="J50" s="13" t="n">
        <f aca="false">IF(M50=F50,1,0)</f>
        <v>0</v>
      </c>
      <c r="L50" s="3" t="s">
        <v>105</v>
      </c>
      <c r="M50" s="3" t="s">
        <v>61</v>
      </c>
    </row>
    <row r="51" customFormat="false" ht="13.8" hidden="false" customHeight="false" outlineLevel="0" collapsed="false">
      <c r="A51" s="3" t="s">
        <v>134</v>
      </c>
      <c r="B51" s="3" t="s">
        <v>105</v>
      </c>
      <c r="C51" s="3" t="s">
        <v>61</v>
      </c>
      <c r="D51" s="25" t="s">
        <v>482</v>
      </c>
      <c r="E51" s="3" t="s">
        <v>105</v>
      </c>
      <c r="F51" s="3" t="s">
        <v>61</v>
      </c>
      <c r="I51" s="13" t="n">
        <f aca="false">IF(L51=E51,1,0)</f>
        <v>1</v>
      </c>
      <c r="J51" s="13" t="n">
        <f aca="false">IF(M51=F51,1,0)</f>
        <v>1</v>
      </c>
      <c r="L51" s="3" t="s">
        <v>105</v>
      </c>
      <c r="M51" s="3" t="s">
        <v>61</v>
      </c>
    </row>
    <row r="52" customFormat="false" ht="13.8" hidden="false" customHeight="false" outlineLevel="0" collapsed="false">
      <c r="A52" s="3" t="s">
        <v>174</v>
      </c>
      <c r="B52" s="3" t="s">
        <v>105</v>
      </c>
      <c r="C52" s="3" t="s">
        <v>61</v>
      </c>
      <c r="D52" s="25" t="s">
        <v>482</v>
      </c>
      <c r="E52" s="3" t="s">
        <v>105</v>
      </c>
      <c r="F52" s="3" t="s">
        <v>61</v>
      </c>
      <c r="I52" s="13" t="n">
        <f aca="false">IF(L52=E52,1,0)</f>
        <v>1</v>
      </c>
      <c r="J52" s="13" t="n">
        <f aca="false">IF(M52=F52,1,0)</f>
        <v>1</v>
      </c>
      <c r="L52" s="3" t="s">
        <v>105</v>
      </c>
      <c r="M52" s="3" t="s">
        <v>61</v>
      </c>
    </row>
    <row r="53" customFormat="false" ht="13.8" hidden="false" customHeight="false" outlineLevel="0" collapsed="false">
      <c r="A53" s="3" t="s">
        <v>142</v>
      </c>
      <c r="B53" s="3" t="s">
        <v>105</v>
      </c>
      <c r="C53" s="3" t="s">
        <v>61</v>
      </c>
      <c r="D53" s="25" t="s">
        <v>482</v>
      </c>
      <c r="E53" s="3" t="s">
        <v>105</v>
      </c>
      <c r="F53" s="3" t="s">
        <v>61</v>
      </c>
      <c r="I53" s="13" t="n">
        <f aca="false">IF(L53=E53,1,0)</f>
        <v>1</v>
      </c>
      <c r="J53" s="13" t="n">
        <f aca="false">IF(M53=F53,1,0)</f>
        <v>1</v>
      </c>
      <c r="L53" s="3" t="s">
        <v>105</v>
      </c>
      <c r="M53" s="3" t="s">
        <v>61</v>
      </c>
    </row>
    <row r="54" customFormat="false" ht="13.8" hidden="false" customHeight="false" outlineLevel="0" collapsed="false">
      <c r="A54" s="3" t="s">
        <v>178</v>
      </c>
      <c r="B54" s="3" t="s">
        <v>105</v>
      </c>
      <c r="C54" s="3" t="s">
        <v>61</v>
      </c>
      <c r="D54" s="25" t="s">
        <v>482</v>
      </c>
      <c r="E54" s="3" t="s">
        <v>105</v>
      </c>
      <c r="F54" s="3" t="s">
        <v>61</v>
      </c>
      <c r="I54" s="13" t="n">
        <f aca="false">IF(L54=E54,1,0)</f>
        <v>1</v>
      </c>
      <c r="J54" s="13" t="n">
        <f aca="false">IF(M54=F54,1,0)</f>
        <v>1</v>
      </c>
      <c r="L54" s="3" t="s">
        <v>105</v>
      </c>
      <c r="M54" s="3" t="s">
        <v>61</v>
      </c>
    </row>
    <row r="55" customFormat="false" ht="13.8" hidden="false" customHeight="false" outlineLevel="0" collapsed="false">
      <c r="A55" s="3" t="s">
        <v>129</v>
      </c>
      <c r="B55" s="3" t="s">
        <v>105</v>
      </c>
      <c r="C55" s="3" t="s">
        <v>61</v>
      </c>
      <c r="D55" s="25" t="s">
        <v>891</v>
      </c>
      <c r="E55" s="3" t="s">
        <v>164</v>
      </c>
      <c r="F55" s="3" t="s">
        <v>154</v>
      </c>
      <c r="I55" s="13" t="n">
        <f aca="false">IF(L55=E55,1,0)</f>
        <v>0</v>
      </c>
      <c r="J55" s="13" t="n">
        <f aca="false">IF(M55=F55,1,0)</f>
        <v>0</v>
      </c>
      <c r="L55" s="3" t="s">
        <v>105</v>
      </c>
      <c r="M55" s="3" t="s">
        <v>61</v>
      </c>
    </row>
    <row r="56" customFormat="false" ht="13.8" hidden="false" customHeight="false" outlineLevel="0" collapsed="false">
      <c r="A56" s="3" t="s">
        <v>123</v>
      </c>
      <c r="B56" s="3" t="s">
        <v>105</v>
      </c>
      <c r="C56" s="3" t="s">
        <v>61</v>
      </c>
      <c r="D56" s="25" t="s">
        <v>482</v>
      </c>
      <c r="E56" s="3" t="s">
        <v>105</v>
      </c>
      <c r="F56" s="3" t="s">
        <v>59</v>
      </c>
      <c r="I56" s="13" t="n">
        <f aca="false">IF(L56=E56,1,0)</f>
        <v>1</v>
      </c>
      <c r="J56" s="13" t="n">
        <f aca="false">IF(M56=F56,1,0)</f>
        <v>0</v>
      </c>
      <c r="L56" s="3" t="s">
        <v>105</v>
      </c>
      <c r="M56" s="3" t="s">
        <v>61</v>
      </c>
    </row>
    <row r="57" customFormat="false" ht="13.8" hidden="false" customHeight="false" outlineLevel="0" collapsed="false">
      <c r="A57" s="3" t="s">
        <v>144</v>
      </c>
      <c r="B57" s="3" t="s">
        <v>105</v>
      </c>
      <c r="C57" s="3" t="s">
        <v>61</v>
      </c>
      <c r="D57" s="25" t="s">
        <v>482</v>
      </c>
      <c r="E57" s="3" t="s">
        <v>105</v>
      </c>
      <c r="F57" s="3" t="s">
        <v>61</v>
      </c>
      <c r="I57" s="13" t="n">
        <f aca="false">IF(L57=E57,1,0)</f>
        <v>1</v>
      </c>
      <c r="J57" s="13" t="n">
        <f aca="false">IF(M57=F57,1,0)</f>
        <v>1</v>
      </c>
      <c r="L57" s="3" t="s">
        <v>105</v>
      </c>
      <c r="M57" s="3" t="s">
        <v>61</v>
      </c>
    </row>
    <row r="58" customFormat="false" ht="13.8" hidden="false" customHeight="false" outlineLevel="0" collapsed="false">
      <c r="A58" s="3" t="s">
        <v>183</v>
      </c>
      <c r="B58" s="3" t="s">
        <v>105</v>
      </c>
      <c r="C58" s="3" t="s">
        <v>61</v>
      </c>
      <c r="D58" s="25" t="s">
        <v>891</v>
      </c>
      <c r="E58" s="3" t="s">
        <v>164</v>
      </c>
      <c r="F58" s="3" t="s">
        <v>154</v>
      </c>
      <c r="I58" s="13" t="n">
        <f aca="false">IF(L58=E58,1,0)</f>
        <v>0</v>
      </c>
      <c r="J58" s="13" t="n">
        <f aca="false">IF(M58=F58,1,0)</f>
        <v>0</v>
      </c>
      <c r="L58" s="3" t="s">
        <v>105</v>
      </c>
      <c r="M58" s="3" t="s">
        <v>61</v>
      </c>
    </row>
    <row r="59" customFormat="false" ht="13.8" hidden="false" customHeight="false" outlineLevel="0" collapsed="false">
      <c r="A59" s="3" t="s">
        <v>191</v>
      </c>
      <c r="B59" s="3" t="s">
        <v>105</v>
      </c>
      <c r="C59" s="3" t="s">
        <v>61</v>
      </c>
      <c r="D59" s="25" t="s">
        <v>482</v>
      </c>
      <c r="E59" s="3" t="s">
        <v>105</v>
      </c>
      <c r="F59" s="3" t="s">
        <v>61</v>
      </c>
      <c r="I59" s="13" t="n">
        <f aca="false">IF(L59=E59,1,0)</f>
        <v>1</v>
      </c>
      <c r="J59" s="13" t="n">
        <f aca="false">IF(M59=F59,1,0)</f>
        <v>1</v>
      </c>
      <c r="L59" s="3" t="s">
        <v>105</v>
      </c>
      <c r="M59" s="3" t="s">
        <v>61</v>
      </c>
    </row>
    <row r="60" customFormat="false" ht="13.8" hidden="false" customHeight="false" outlineLevel="0" collapsed="false">
      <c r="A60" s="3" t="s">
        <v>146</v>
      </c>
      <c r="B60" s="3" t="s">
        <v>105</v>
      </c>
      <c r="C60" s="3" t="s">
        <v>61</v>
      </c>
      <c r="D60" s="25" t="s">
        <v>482</v>
      </c>
      <c r="E60" s="3" t="s">
        <v>105</v>
      </c>
      <c r="F60" s="3" t="s">
        <v>61</v>
      </c>
      <c r="I60" s="13" t="n">
        <f aca="false">IF(L60=E60,1,0)</f>
        <v>1</v>
      </c>
      <c r="J60" s="13" t="n">
        <f aca="false">IF(M60=F60,1,0)</f>
        <v>1</v>
      </c>
      <c r="L60" s="3" t="s">
        <v>105</v>
      </c>
      <c r="M60" s="3" t="s">
        <v>61</v>
      </c>
    </row>
    <row r="61" customFormat="false" ht="13.8" hidden="false" customHeight="false" outlineLevel="0" collapsed="false">
      <c r="A61" s="3" t="s">
        <v>131</v>
      </c>
      <c r="B61" s="3" t="s">
        <v>105</v>
      </c>
      <c r="C61" s="3" t="s">
        <v>61</v>
      </c>
      <c r="D61" s="25" t="s">
        <v>482</v>
      </c>
      <c r="E61" s="3" t="s">
        <v>105</v>
      </c>
      <c r="F61" s="3" t="s">
        <v>61</v>
      </c>
      <c r="I61" s="13" t="n">
        <f aca="false">IF(L61=E61,1,0)</f>
        <v>1</v>
      </c>
      <c r="J61" s="13" t="n">
        <f aca="false">IF(M61=F61,1,0)</f>
        <v>1</v>
      </c>
      <c r="L61" s="3" t="s">
        <v>105</v>
      </c>
      <c r="M61" s="3" t="s">
        <v>61</v>
      </c>
    </row>
    <row r="62" customFormat="false" ht="13.8" hidden="false" customHeight="false" outlineLevel="0" collapsed="false">
      <c r="A62" s="3" t="s">
        <v>165</v>
      </c>
      <c r="B62" s="3" t="s">
        <v>105</v>
      </c>
      <c r="C62" s="3" t="s">
        <v>61</v>
      </c>
      <c r="D62" s="25" t="s">
        <v>482</v>
      </c>
      <c r="E62" s="3" t="s">
        <v>143</v>
      </c>
      <c r="F62" s="3" t="s">
        <v>160</v>
      </c>
      <c r="I62" s="13" t="n">
        <f aca="false">IF(L62=E62,1,0)</f>
        <v>0</v>
      </c>
      <c r="J62" s="13" t="n">
        <f aca="false">IF(M62=F62,1,0)</f>
        <v>0</v>
      </c>
      <c r="L62" s="3" t="s">
        <v>105</v>
      </c>
      <c r="M62" s="3" t="s">
        <v>61</v>
      </c>
    </row>
    <row r="63" customFormat="false" ht="13.8" hidden="false" customHeight="false" outlineLevel="0" collapsed="false">
      <c r="A63" s="3" t="s">
        <v>170</v>
      </c>
      <c r="B63" s="3" t="s">
        <v>105</v>
      </c>
      <c r="C63" s="3" t="s">
        <v>61</v>
      </c>
      <c r="D63" s="25" t="s">
        <v>891</v>
      </c>
      <c r="E63" s="3" t="s">
        <v>164</v>
      </c>
      <c r="F63" s="3" t="s">
        <v>154</v>
      </c>
      <c r="I63" s="13" t="n">
        <f aca="false">IF(L63=E63,1,0)</f>
        <v>0</v>
      </c>
      <c r="J63" s="13" t="n">
        <f aca="false">IF(M63=F63,1,0)</f>
        <v>0</v>
      </c>
      <c r="L63" s="3" t="s">
        <v>105</v>
      </c>
      <c r="M63" s="3" t="s">
        <v>61</v>
      </c>
    </row>
    <row r="64" customFormat="false" ht="13.8" hidden="false" customHeight="false" outlineLevel="0" collapsed="false">
      <c r="A64" s="3" t="s">
        <v>130</v>
      </c>
      <c r="B64" s="3" t="s">
        <v>105</v>
      </c>
      <c r="C64" s="3" t="s">
        <v>61</v>
      </c>
      <c r="D64" s="25" t="s">
        <v>482</v>
      </c>
      <c r="E64" s="3" t="s">
        <v>105</v>
      </c>
      <c r="F64" s="3" t="s">
        <v>61</v>
      </c>
      <c r="I64" s="13" t="n">
        <f aca="false">IF(L64=E64,1,0)</f>
        <v>1</v>
      </c>
      <c r="J64" s="13" t="n">
        <f aca="false">IF(M64=F64,1,0)</f>
        <v>1</v>
      </c>
      <c r="L64" s="3" t="s">
        <v>105</v>
      </c>
      <c r="M64" s="3" t="s">
        <v>61</v>
      </c>
    </row>
    <row r="65" customFormat="false" ht="13.8" hidden="false" customHeight="false" outlineLevel="0" collapsed="false">
      <c r="A65" s="3" t="s">
        <v>182</v>
      </c>
      <c r="B65" s="3" t="s">
        <v>105</v>
      </c>
      <c r="C65" s="3" t="s">
        <v>61</v>
      </c>
      <c r="D65" s="25" t="s">
        <v>482</v>
      </c>
      <c r="E65" s="3" t="s">
        <v>105</v>
      </c>
      <c r="F65" s="3" t="s">
        <v>59</v>
      </c>
      <c r="I65" s="13" t="n">
        <f aca="false">IF(L65=E65,1,0)</f>
        <v>1</v>
      </c>
      <c r="J65" s="13" t="n">
        <f aca="false">IF(M65=F65,1,0)</f>
        <v>0</v>
      </c>
      <c r="L65" s="3" t="s">
        <v>105</v>
      </c>
      <c r="M65" s="3" t="s">
        <v>61</v>
      </c>
    </row>
    <row r="66" customFormat="false" ht="13.8" hidden="false" customHeight="false" outlineLevel="0" collapsed="false">
      <c r="A66" s="3" t="s">
        <v>149</v>
      </c>
      <c r="B66" s="3" t="s">
        <v>150</v>
      </c>
      <c r="C66" s="3" t="s">
        <v>151</v>
      </c>
      <c r="D66" s="25" t="s">
        <v>482</v>
      </c>
      <c r="E66" s="3" t="s">
        <v>105</v>
      </c>
      <c r="F66" s="3" t="s">
        <v>61</v>
      </c>
      <c r="I66" s="13" t="n">
        <f aca="false">IF(L66=E66,1,0)</f>
        <v>0</v>
      </c>
      <c r="J66" s="13" t="n">
        <f aca="false">IF(M66=F66,1,0)</f>
        <v>0</v>
      </c>
      <c r="L66" s="3" t="s">
        <v>164</v>
      </c>
      <c r="M66" s="3" t="s">
        <v>63</v>
      </c>
    </row>
    <row r="67" customFormat="false" ht="13.8" hidden="false" customHeight="false" outlineLevel="0" collapsed="false">
      <c r="A67" s="3" t="s">
        <v>179</v>
      </c>
      <c r="B67" s="3" t="s">
        <v>150</v>
      </c>
      <c r="C67" s="3" t="s">
        <v>151</v>
      </c>
      <c r="D67" s="25" t="s">
        <v>891</v>
      </c>
      <c r="E67" s="3" t="s">
        <v>164</v>
      </c>
      <c r="F67" s="3" t="s">
        <v>63</v>
      </c>
      <c r="I67" s="13" t="n">
        <f aca="false">IF(L67=E67,1,0)</f>
        <v>1</v>
      </c>
      <c r="J67" s="13" t="n">
        <f aca="false">IF(M67=F67,1,0)</f>
        <v>1</v>
      </c>
      <c r="L67" s="3" t="s">
        <v>164</v>
      </c>
      <c r="M67" s="3" t="s">
        <v>63</v>
      </c>
    </row>
    <row r="68" customFormat="false" ht="13.8" hidden="false" customHeight="false" outlineLevel="0" collapsed="false">
      <c r="A68" s="3" t="s">
        <v>188</v>
      </c>
      <c r="B68" s="3" t="s">
        <v>133</v>
      </c>
      <c r="C68" s="3" t="s">
        <v>65</v>
      </c>
      <c r="D68" s="25" t="s">
        <v>891</v>
      </c>
      <c r="E68" s="3" t="s">
        <v>164</v>
      </c>
      <c r="F68" s="3" t="s">
        <v>63</v>
      </c>
      <c r="G68" s="3" t="s">
        <v>257</v>
      </c>
      <c r="L68" s="3" t="s">
        <v>133</v>
      </c>
      <c r="M68" s="3" t="s">
        <v>65</v>
      </c>
    </row>
    <row r="69" customFormat="false" ht="13.8" hidden="false" customHeight="false" outlineLevel="0" collapsed="false">
      <c r="A69" s="3" t="s">
        <v>180</v>
      </c>
      <c r="B69" s="3" t="s">
        <v>133</v>
      </c>
      <c r="C69" s="3" t="s">
        <v>65</v>
      </c>
      <c r="D69" s="25" t="s">
        <v>891</v>
      </c>
      <c r="E69" s="3" t="s">
        <v>164</v>
      </c>
      <c r="F69" s="3" t="s">
        <v>154</v>
      </c>
      <c r="G69" s="3" t="s">
        <v>257</v>
      </c>
      <c r="L69" s="3" t="s">
        <v>133</v>
      </c>
      <c r="M69" s="3" t="s">
        <v>65</v>
      </c>
    </row>
    <row r="70" customFormat="false" ht="13.8" hidden="false" customHeight="false" outlineLevel="0" collapsed="false">
      <c r="A70" s="3" t="s">
        <v>193</v>
      </c>
      <c r="B70" s="3" t="s">
        <v>133</v>
      </c>
      <c r="C70" s="3" t="s">
        <v>65</v>
      </c>
      <c r="D70" s="25" t="s">
        <v>482</v>
      </c>
      <c r="E70" s="3" t="s">
        <v>105</v>
      </c>
      <c r="F70" s="3" t="s">
        <v>894</v>
      </c>
      <c r="G70" s="3" t="s">
        <v>257</v>
      </c>
      <c r="L70" s="3" t="s">
        <v>133</v>
      </c>
      <c r="M70" s="3" t="s">
        <v>65</v>
      </c>
    </row>
    <row r="71" customFormat="false" ht="13.8" hidden="false" customHeight="false" outlineLevel="0" collapsed="false">
      <c r="A71" s="3" t="s">
        <v>175</v>
      </c>
      <c r="B71" s="3" t="s">
        <v>133</v>
      </c>
      <c r="C71" s="3" t="s">
        <v>65</v>
      </c>
      <c r="D71" s="25" t="s">
        <v>891</v>
      </c>
      <c r="E71" s="3" t="s">
        <v>164</v>
      </c>
      <c r="F71" s="3" t="s">
        <v>154</v>
      </c>
      <c r="G71" s="3" t="s">
        <v>257</v>
      </c>
      <c r="L71" s="3" t="s">
        <v>133</v>
      </c>
      <c r="M71" s="3" t="s">
        <v>65</v>
      </c>
    </row>
    <row r="72" customFormat="false" ht="13.8" hidden="false" customHeight="false" outlineLevel="0" collapsed="false">
      <c r="A72" s="3" t="s">
        <v>132</v>
      </c>
      <c r="B72" s="3" t="s">
        <v>133</v>
      </c>
      <c r="C72" s="3" t="s">
        <v>65</v>
      </c>
      <c r="D72" s="25" t="s">
        <v>891</v>
      </c>
      <c r="E72" s="3" t="s">
        <v>164</v>
      </c>
      <c r="F72" s="3" t="s">
        <v>154</v>
      </c>
      <c r="G72" s="3" t="s">
        <v>257</v>
      </c>
      <c r="L72" s="3" t="s">
        <v>133</v>
      </c>
      <c r="M72" s="3" t="s">
        <v>65</v>
      </c>
    </row>
    <row r="73" customFormat="false" ht="13.8" hidden="false" customHeight="false" outlineLevel="0" collapsed="false">
      <c r="A73" s="3" t="s">
        <v>181</v>
      </c>
      <c r="B73" s="3" t="s">
        <v>143</v>
      </c>
      <c r="C73" s="3" t="s">
        <v>160</v>
      </c>
      <c r="D73" s="25" t="s">
        <v>482</v>
      </c>
      <c r="E73" s="3" t="s">
        <v>143</v>
      </c>
      <c r="F73" s="3" t="s">
        <v>160</v>
      </c>
      <c r="I73" s="13" t="n">
        <f aca="false">IF(L73=E73,1,0)</f>
        <v>1</v>
      </c>
      <c r="J73" s="13" t="n">
        <f aca="false">IF(M73=F73,1,0)</f>
        <v>1</v>
      </c>
      <c r="L73" s="3" t="s">
        <v>143</v>
      </c>
      <c r="M73" s="3" t="s">
        <v>160</v>
      </c>
    </row>
    <row r="74" customFormat="false" ht="13.8" hidden="false" customHeight="false" outlineLevel="0" collapsed="false">
      <c r="A74" s="3" t="s">
        <v>186</v>
      </c>
      <c r="B74" s="3" t="s">
        <v>143</v>
      </c>
      <c r="C74" s="3" t="s">
        <v>160</v>
      </c>
      <c r="D74" s="25" t="s">
        <v>482</v>
      </c>
      <c r="E74" s="3" t="s">
        <v>105</v>
      </c>
      <c r="F74" s="3" t="s">
        <v>59</v>
      </c>
      <c r="I74" s="13" t="n">
        <f aca="false">IF(L74=E74,1,0)</f>
        <v>0</v>
      </c>
      <c r="J74" s="13" t="n">
        <f aca="false">IF(M74=F74,1,0)</f>
        <v>0</v>
      </c>
      <c r="L74" s="3" t="s">
        <v>143</v>
      </c>
      <c r="M74" s="3" t="s">
        <v>160</v>
      </c>
    </row>
    <row r="75" customFormat="false" ht="13.8" hidden="false" customHeight="false" outlineLevel="0" collapsed="false">
      <c r="A75" s="3" t="s">
        <v>159</v>
      </c>
      <c r="B75" s="3" t="s">
        <v>143</v>
      </c>
      <c r="C75" s="3" t="s">
        <v>160</v>
      </c>
      <c r="D75" s="25" t="s">
        <v>482</v>
      </c>
      <c r="E75" s="3" t="s">
        <v>143</v>
      </c>
      <c r="F75" s="3" t="s">
        <v>160</v>
      </c>
      <c r="I75" s="13" t="n">
        <f aca="false">IF(L75=E75,1,0)</f>
        <v>1</v>
      </c>
      <c r="J75" s="13" t="n">
        <f aca="false">IF(M75=F75,1,0)</f>
        <v>1</v>
      </c>
      <c r="L75" s="3" t="s">
        <v>143</v>
      </c>
      <c r="M75" s="3" t="s">
        <v>160</v>
      </c>
    </row>
    <row r="76" customFormat="false" ht="13.8" hidden="false" customHeight="false" outlineLevel="0" collapsed="false">
      <c r="A76" s="3" t="s">
        <v>192</v>
      </c>
      <c r="B76" s="3" t="s">
        <v>143</v>
      </c>
      <c r="C76" s="3" t="s">
        <v>160</v>
      </c>
      <c r="D76" s="25" t="s">
        <v>891</v>
      </c>
      <c r="E76" s="3" t="s">
        <v>164</v>
      </c>
      <c r="F76" s="3" t="s">
        <v>63</v>
      </c>
      <c r="I76" s="13" t="n">
        <f aca="false">IF(L76=E76,1,0)</f>
        <v>0</v>
      </c>
      <c r="J76" s="13" t="n">
        <f aca="false">IF(M76=F76,1,0)</f>
        <v>0</v>
      </c>
      <c r="L76" s="3" t="s">
        <v>143</v>
      </c>
      <c r="M76" s="3" t="s">
        <v>160</v>
      </c>
    </row>
    <row r="77" customFormat="false" ht="13.8" hidden="false" customHeight="false" outlineLevel="0" collapsed="false">
      <c r="D77" s="26"/>
      <c r="I77" s="18"/>
      <c r="J77" s="18"/>
    </row>
    <row r="78" customFormat="false" ht="15.75" hidden="false" customHeight="false" outlineLevel="0" collapsed="false">
      <c r="D78" s="26"/>
    </row>
    <row r="79" customFormat="false" ht="15.75" hidden="false" customHeight="false" outlineLevel="0" collapsed="false">
      <c r="D79" s="26"/>
    </row>
    <row r="80" customFormat="false" ht="15.75" hidden="false" customHeight="false" outlineLevel="0" collapsed="false">
      <c r="D80" s="26"/>
    </row>
    <row r="81" customFormat="false" ht="15.75" hidden="false" customHeight="false" outlineLevel="0" collapsed="false">
      <c r="D81" s="26"/>
    </row>
    <row r="82" customFormat="false" ht="15.75" hidden="false" customHeight="false" outlineLevel="0" collapsed="false">
      <c r="D82" s="26"/>
    </row>
    <row r="83" customFormat="false" ht="15.75" hidden="false" customHeight="false" outlineLevel="0" collapsed="false">
      <c r="D83" s="26"/>
    </row>
    <row r="84" customFormat="false" ht="15.75" hidden="false" customHeight="false" outlineLevel="0" collapsed="false">
      <c r="D84" s="26"/>
    </row>
    <row r="85" customFormat="false" ht="15.75" hidden="false" customHeight="false" outlineLevel="0" collapsed="false">
      <c r="D85" s="26"/>
    </row>
    <row r="86" customFormat="false" ht="15.75" hidden="false" customHeight="false" outlineLevel="0" collapsed="false">
      <c r="D86" s="26"/>
    </row>
    <row r="87" customFormat="false" ht="15.75" hidden="false" customHeight="false" outlineLevel="0" collapsed="false">
      <c r="D87" s="26"/>
    </row>
    <row r="88" customFormat="false" ht="15.75" hidden="false" customHeight="false" outlineLevel="0" collapsed="false">
      <c r="D88" s="26"/>
    </row>
    <row r="89" customFormat="false" ht="15.75" hidden="false" customHeight="false" outlineLevel="0" collapsed="false">
      <c r="D89" s="26"/>
    </row>
    <row r="90" customFormat="false" ht="15.75" hidden="false" customHeight="false" outlineLevel="0" collapsed="false">
      <c r="D90" s="26"/>
    </row>
    <row r="91" customFormat="false" ht="15.75" hidden="false" customHeight="false" outlineLevel="0" collapsed="false">
      <c r="D91" s="26"/>
    </row>
    <row r="92" customFormat="false" ht="15.75" hidden="false" customHeight="false" outlineLevel="0" collapsed="false">
      <c r="D92" s="26"/>
    </row>
    <row r="93" customFormat="false" ht="15.75" hidden="false" customHeight="false" outlineLevel="0" collapsed="false">
      <c r="D93" s="26"/>
    </row>
    <row r="94" customFormat="false" ht="15.75" hidden="false" customHeight="false" outlineLevel="0" collapsed="false">
      <c r="D94" s="26"/>
    </row>
    <row r="95" customFormat="false" ht="15.75" hidden="false" customHeight="false" outlineLevel="0" collapsed="false">
      <c r="D95" s="26"/>
    </row>
    <row r="96" customFormat="false" ht="15.75" hidden="false" customHeight="false" outlineLevel="0" collapsed="false">
      <c r="D96" s="26"/>
    </row>
    <row r="97" customFormat="false" ht="15.75" hidden="false" customHeight="false" outlineLevel="0" collapsed="false">
      <c r="D97" s="26"/>
    </row>
    <row r="98" customFormat="false" ht="15.75" hidden="false" customHeight="false" outlineLevel="0" collapsed="false">
      <c r="D98" s="26"/>
    </row>
    <row r="99" customFormat="false" ht="15.75" hidden="false" customHeight="false" outlineLevel="0" collapsed="false">
      <c r="D99" s="26"/>
    </row>
    <row r="100" customFormat="false" ht="15.75" hidden="false" customHeight="false" outlineLevel="0" collapsed="false">
      <c r="D100" s="26"/>
    </row>
    <row r="101" customFormat="false" ht="15.75" hidden="false" customHeight="false" outlineLevel="0" collapsed="false">
      <c r="D101" s="26"/>
    </row>
    <row r="102" customFormat="false" ht="15.75" hidden="false" customHeight="false" outlineLevel="0" collapsed="false">
      <c r="D102" s="26"/>
    </row>
    <row r="103" customFormat="false" ht="15.75" hidden="false" customHeight="false" outlineLevel="0" collapsed="false">
      <c r="D103" s="26"/>
    </row>
    <row r="104" customFormat="false" ht="15.75" hidden="false" customHeight="false" outlineLevel="0" collapsed="false">
      <c r="D104" s="26"/>
    </row>
    <row r="105" customFormat="false" ht="15.75" hidden="false" customHeight="false" outlineLevel="0" collapsed="false">
      <c r="D105" s="26"/>
    </row>
    <row r="106" customFormat="false" ht="15.75" hidden="false" customHeight="false" outlineLevel="0" collapsed="false">
      <c r="D106" s="26"/>
    </row>
    <row r="107" customFormat="false" ht="15.75" hidden="false" customHeight="false" outlineLevel="0" collapsed="false">
      <c r="D107" s="26"/>
    </row>
    <row r="108" customFormat="false" ht="15.75" hidden="false" customHeight="false" outlineLevel="0" collapsed="false">
      <c r="D108" s="26"/>
    </row>
    <row r="109" customFormat="false" ht="15.75" hidden="false" customHeight="false" outlineLevel="0" collapsed="false">
      <c r="D109" s="26"/>
    </row>
    <row r="110" customFormat="false" ht="15.75" hidden="false" customHeight="false" outlineLevel="0" collapsed="false">
      <c r="D110" s="26"/>
    </row>
    <row r="111" customFormat="false" ht="15.75" hidden="false" customHeight="false" outlineLevel="0" collapsed="false">
      <c r="D111" s="26"/>
    </row>
    <row r="112" customFormat="false" ht="15.75" hidden="false" customHeight="false" outlineLevel="0" collapsed="false">
      <c r="D112" s="26"/>
    </row>
    <row r="113" customFormat="false" ht="15.75" hidden="false" customHeight="false" outlineLevel="0" collapsed="false">
      <c r="D113" s="26"/>
    </row>
    <row r="114" customFormat="false" ht="15.75" hidden="false" customHeight="false" outlineLevel="0" collapsed="false">
      <c r="D114" s="26"/>
    </row>
    <row r="115" customFormat="false" ht="15.75" hidden="false" customHeight="false" outlineLevel="0" collapsed="false">
      <c r="D115" s="26"/>
    </row>
    <row r="116" customFormat="false" ht="15.75" hidden="false" customHeight="false" outlineLevel="0" collapsed="false">
      <c r="D116" s="26"/>
    </row>
    <row r="117" customFormat="false" ht="15.75" hidden="false" customHeight="false" outlineLevel="0" collapsed="false">
      <c r="D117" s="26"/>
    </row>
    <row r="118" customFormat="false" ht="15.75" hidden="false" customHeight="false" outlineLevel="0" collapsed="false">
      <c r="D118" s="26"/>
    </row>
    <row r="119" customFormat="false" ht="15.75" hidden="false" customHeight="false" outlineLevel="0" collapsed="false">
      <c r="D119" s="26"/>
    </row>
    <row r="120" customFormat="false" ht="15.75" hidden="false" customHeight="false" outlineLevel="0" collapsed="false">
      <c r="D120" s="26"/>
    </row>
    <row r="121" customFormat="false" ht="15.75" hidden="false" customHeight="false" outlineLevel="0" collapsed="false">
      <c r="D121" s="26"/>
    </row>
    <row r="122" customFormat="false" ht="15.75" hidden="false" customHeight="false" outlineLevel="0" collapsed="false">
      <c r="D122" s="26"/>
    </row>
    <row r="123" customFormat="false" ht="15.75" hidden="false" customHeight="false" outlineLevel="0" collapsed="false">
      <c r="D123" s="26"/>
    </row>
    <row r="124" customFormat="false" ht="15.75" hidden="false" customHeight="false" outlineLevel="0" collapsed="false">
      <c r="D124" s="26"/>
    </row>
    <row r="125" customFormat="false" ht="15.75" hidden="false" customHeight="false" outlineLevel="0" collapsed="false">
      <c r="D125" s="26"/>
    </row>
    <row r="126" customFormat="false" ht="15.75" hidden="false" customHeight="false" outlineLevel="0" collapsed="false">
      <c r="D126" s="26"/>
    </row>
    <row r="127" customFormat="false" ht="15.75" hidden="false" customHeight="false" outlineLevel="0" collapsed="false">
      <c r="D127" s="26"/>
    </row>
    <row r="128" customFormat="false" ht="15.75" hidden="false" customHeight="false" outlineLevel="0" collapsed="false">
      <c r="D128" s="26"/>
    </row>
    <row r="129" customFormat="false" ht="15.75" hidden="false" customHeight="false" outlineLevel="0" collapsed="false">
      <c r="D129" s="26"/>
    </row>
    <row r="130" customFormat="false" ht="15.75" hidden="false" customHeight="false" outlineLevel="0" collapsed="false">
      <c r="D130" s="26"/>
    </row>
    <row r="131" customFormat="false" ht="15.75" hidden="false" customHeight="false" outlineLevel="0" collapsed="false">
      <c r="D131" s="26"/>
    </row>
    <row r="132" customFormat="false" ht="15.75" hidden="false" customHeight="false" outlineLevel="0" collapsed="false">
      <c r="D132" s="26"/>
    </row>
    <row r="133" customFormat="false" ht="15.75" hidden="false" customHeight="false" outlineLevel="0" collapsed="false">
      <c r="D133" s="26"/>
    </row>
    <row r="134" customFormat="false" ht="15.75" hidden="false" customHeight="false" outlineLevel="0" collapsed="false">
      <c r="D134" s="26"/>
    </row>
    <row r="135" customFormat="false" ht="15.75" hidden="false" customHeight="false" outlineLevel="0" collapsed="false">
      <c r="D135" s="26"/>
    </row>
    <row r="136" customFormat="false" ht="15.75" hidden="false" customHeight="false" outlineLevel="0" collapsed="false">
      <c r="D136" s="26"/>
    </row>
    <row r="137" customFormat="false" ht="15.75" hidden="false" customHeight="false" outlineLevel="0" collapsed="false">
      <c r="D137" s="26"/>
    </row>
    <row r="138" customFormat="false" ht="15.75" hidden="false" customHeight="false" outlineLevel="0" collapsed="false">
      <c r="D138" s="26"/>
    </row>
    <row r="139" customFormat="false" ht="15.75" hidden="false" customHeight="false" outlineLevel="0" collapsed="false">
      <c r="D139" s="26"/>
    </row>
    <row r="140" customFormat="false" ht="15.75" hidden="false" customHeight="false" outlineLevel="0" collapsed="false">
      <c r="D140" s="26"/>
    </row>
    <row r="141" customFormat="false" ht="15.75" hidden="false" customHeight="false" outlineLevel="0" collapsed="false">
      <c r="D141" s="26"/>
    </row>
    <row r="142" customFormat="false" ht="15.75" hidden="false" customHeight="false" outlineLevel="0" collapsed="false">
      <c r="D142" s="26"/>
    </row>
    <row r="143" customFormat="false" ht="15.75" hidden="false" customHeight="false" outlineLevel="0" collapsed="false">
      <c r="D143" s="26"/>
    </row>
    <row r="144" customFormat="false" ht="15.75" hidden="false" customHeight="false" outlineLevel="0" collapsed="false">
      <c r="D144" s="26"/>
    </row>
    <row r="145" customFormat="false" ht="15.75" hidden="false" customHeight="false" outlineLevel="0" collapsed="false">
      <c r="D145" s="26"/>
    </row>
    <row r="146" customFormat="false" ht="15.75" hidden="false" customHeight="false" outlineLevel="0" collapsed="false">
      <c r="D146" s="26"/>
    </row>
    <row r="147" customFormat="false" ht="15.75" hidden="false" customHeight="false" outlineLevel="0" collapsed="false">
      <c r="D147" s="26"/>
    </row>
    <row r="148" customFormat="false" ht="15.75" hidden="false" customHeight="false" outlineLevel="0" collapsed="false">
      <c r="D148" s="26"/>
    </row>
    <row r="149" customFormat="false" ht="15.75" hidden="false" customHeight="false" outlineLevel="0" collapsed="false">
      <c r="D149" s="26"/>
    </row>
    <row r="150" customFormat="false" ht="15.75" hidden="false" customHeight="false" outlineLevel="0" collapsed="false">
      <c r="D150" s="26"/>
    </row>
    <row r="151" customFormat="false" ht="15.75" hidden="false" customHeight="false" outlineLevel="0" collapsed="false">
      <c r="D151" s="26"/>
    </row>
    <row r="152" customFormat="false" ht="15.75" hidden="false" customHeight="false" outlineLevel="0" collapsed="false">
      <c r="D152" s="26"/>
    </row>
    <row r="153" customFormat="false" ht="15.75" hidden="false" customHeight="false" outlineLevel="0" collapsed="false">
      <c r="D153" s="26"/>
    </row>
    <row r="154" customFormat="false" ht="15.75" hidden="false" customHeight="false" outlineLevel="0" collapsed="false">
      <c r="D154" s="26"/>
    </row>
    <row r="155" customFormat="false" ht="15.75" hidden="false" customHeight="false" outlineLevel="0" collapsed="false">
      <c r="D155" s="26"/>
    </row>
    <row r="156" customFormat="false" ht="15.75" hidden="false" customHeight="false" outlineLevel="0" collapsed="false">
      <c r="D156" s="26"/>
    </row>
    <row r="157" customFormat="false" ht="15.75" hidden="false" customHeight="false" outlineLevel="0" collapsed="false">
      <c r="D157" s="26"/>
    </row>
    <row r="158" customFormat="false" ht="15.75" hidden="false" customHeight="false" outlineLevel="0" collapsed="false">
      <c r="D158" s="26"/>
    </row>
    <row r="159" customFormat="false" ht="15.75" hidden="false" customHeight="false" outlineLevel="0" collapsed="false">
      <c r="D159" s="26"/>
    </row>
    <row r="160" customFormat="false" ht="15.75" hidden="false" customHeight="false" outlineLevel="0" collapsed="false">
      <c r="D160" s="26"/>
    </row>
    <row r="161" customFormat="false" ht="15.75" hidden="false" customHeight="false" outlineLevel="0" collapsed="false">
      <c r="D161" s="26"/>
    </row>
    <row r="162" customFormat="false" ht="15.75" hidden="false" customHeight="false" outlineLevel="0" collapsed="false">
      <c r="D162" s="26"/>
    </row>
    <row r="163" customFormat="false" ht="15.75" hidden="false" customHeight="false" outlineLevel="0" collapsed="false">
      <c r="D163" s="26"/>
    </row>
    <row r="164" customFormat="false" ht="15.75" hidden="false" customHeight="false" outlineLevel="0" collapsed="false">
      <c r="D164" s="26"/>
    </row>
    <row r="165" customFormat="false" ht="15.75" hidden="false" customHeight="false" outlineLevel="0" collapsed="false">
      <c r="D165" s="26"/>
    </row>
    <row r="166" customFormat="false" ht="15.75" hidden="false" customHeight="false" outlineLevel="0" collapsed="false">
      <c r="D166" s="26"/>
    </row>
    <row r="167" customFormat="false" ht="15.75" hidden="false" customHeight="false" outlineLevel="0" collapsed="false">
      <c r="D167" s="26"/>
    </row>
    <row r="168" customFormat="false" ht="15.75" hidden="false" customHeight="false" outlineLevel="0" collapsed="false">
      <c r="D168" s="26"/>
    </row>
    <row r="169" customFormat="false" ht="15.75" hidden="false" customHeight="false" outlineLevel="0" collapsed="false">
      <c r="D169" s="26"/>
    </row>
    <row r="170" customFormat="false" ht="15.75" hidden="false" customHeight="false" outlineLevel="0" collapsed="false">
      <c r="D170" s="26"/>
    </row>
    <row r="171" customFormat="false" ht="15.75" hidden="false" customHeight="false" outlineLevel="0" collapsed="false">
      <c r="D171" s="26"/>
    </row>
    <row r="172" customFormat="false" ht="15.75" hidden="false" customHeight="false" outlineLevel="0" collapsed="false">
      <c r="D172" s="26"/>
    </row>
    <row r="173" customFormat="false" ht="15.75" hidden="false" customHeight="false" outlineLevel="0" collapsed="false">
      <c r="D173" s="26"/>
    </row>
    <row r="174" customFormat="false" ht="15.75" hidden="false" customHeight="false" outlineLevel="0" collapsed="false">
      <c r="D174" s="26"/>
    </row>
    <row r="175" customFormat="false" ht="15.75" hidden="false" customHeight="false" outlineLevel="0" collapsed="false">
      <c r="D175" s="26"/>
    </row>
    <row r="176" customFormat="false" ht="15.75" hidden="false" customHeight="false" outlineLevel="0" collapsed="false">
      <c r="D176" s="26"/>
    </row>
    <row r="177" customFormat="false" ht="15.75" hidden="false" customHeight="false" outlineLevel="0" collapsed="false">
      <c r="D177" s="26"/>
    </row>
    <row r="178" customFormat="false" ht="15.75" hidden="false" customHeight="false" outlineLevel="0" collapsed="false">
      <c r="D178" s="26"/>
    </row>
    <row r="179" customFormat="false" ht="15.75" hidden="false" customHeight="false" outlineLevel="0" collapsed="false">
      <c r="D179" s="26"/>
    </row>
    <row r="180" customFormat="false" ht="15.75" hidden="false" customHeight="false" outlineLevel="0" collapsed="false">
      <c r="D180" s="26"/>
    </row>
    <row r="181" customFormat="false" ht="15.75" hidden="false" customHeight="false" outlineLevel="0" collapsed="false">
      <c r="D181" s="26"/>
    </row>
    <row r="182" customFormat="false" ht="15.75" hidden="false" customHeight="false" outlineLevel="0" collapsed="false">
      <c r="D182" s="26"/>
    </row>
    <row r="183" customFormat="false" ht="15.75" hidden="false" customHeight="false" outlineLevel="0" collapsed="false">
      <c r="D183" s="26"/>
    </row>
    <row r="184" customFormat="false" ht="15.75" hidden="false" customHeight="false" outlineLevel="0" collapsed="false">
      <c r="D184" s="26"/>
    </row>
    <row r="185" customFormat="false" ht="15.75" hidden="false" customHeight="false" outlineLevel="0" collapsed="false">
      <c r="D185" s="26"/>
    </row>
    <row r="186" customFormat="false" ht="15.75" hidden="false" customHeight="false" outlineLevel="0" collapsed="false">
      <c r="D186" s="26"/>
    </row>
    <row r="187" customFormat="false" ht="15.75" hidden="false" customHeight="false" outlineLevel="0" collapsed="false">
      <c r="D187" s="26"/>
    </row>
    <row r="188" customFormat="false" ht="15.75" hidden="false" customHeight="false" outlineLevel="0" collapsed="false">
      <c r="D188" s="26"/>
    </row>
    <row r="189" customFormat="false" ht="15.75" hidden="false" customHeight="false" outlineLevel="0" collapsed="false">
      <c r="D189" s="26"/>
    </row>
    <row r="190" customFormat="false" ht="15.75" hidden="false" customHeight="false" outlineLevel="0" collapsed="false">
      <c r="D190" s="26"/>
    </row>
    <row r="191" customFormat="false" ht="15.75" hidden="false" customHeight="false" outlineLevel="0" collapsed="false">
      <c r="D191" s="26"/>
    </row>
    <row r="192" customFormat="false" ht="15.75" hidden="false" customHeight="false" outlineLevel="0" collapsed="false">
      <c r="D192" s="26"/>
    </row>
    <row r="193" customFormat="false" ht="15.75" hidden="false" customHeight="false" outlineLevel="0" collapsed="false">
      <c r="D193" s="26"/>
    </row>
    <row r="194" customFormat="false" ht="15.75" hidden="false" customHeight="false" outlineLevel="0" collapsed="false">
      <c r="D194" s="26"/>
    </row>
    <row r="195" customFormat="false" ht="15.75" hidden="false" customHeight="false" outlineLevel="0" collapsed="false">
      <c r="D195" s="26"/>
    </row>
    <row r="196" customFormat="false" ht="15.75" hidden="false" customHeight="false" outlineLevel="0" collapsed="false">
      <c r="D196" s="26"/>
    </row>
    <row r="197" customFormat="false" ht="15.75" hidden="false" customHeight="false" outlineLevel="0" collapsed="false">
      <c r="D197" s="26"/>
    </row>
    <row r="198" customFormat="false" ht="15.75" hidden="false" customHeight="false" outlineLevel="0" collapsed="false">
      <c r="D198" s="26"/>
    </row>
    <row r="199" customFormat="false" ht="15.75" hidden="false" customHeight="false" outlineLevel="0" collapsed="false">
      <c r="D199" s="26"/>
    </row>
    <row r="200" customFormat="false" ht="15.75" hidden="false" customHeight="false" outlineLevel="0" collapsed="false">
      <c r="D200" s="26"/>
    </row>
    <row r="201" customFormat="false" ht="15.75" hidden="false" customHeight="false" outlineLevel="0" collapsed="false">
      <c r="D201" s="26"/>
    </row>
    <row r="202" customFormat="false" ht="15.75" hidden="false" customHeight="false" outlineLevel="0" collapsed="false">
      <c r="D202" s="26"/>
    </row>
    <row r="203" customFormat="false" ht="15.75" hidden="false" customHeight="false" outlineLevel="0" collapsed="false">
      <c r="D203" s="26"/>
    </row>
    <row r="204" customFormat="false" ht="15.75" hidden="false" customHeight="false" outlineLevel="0" collapsed="false">
      <c r="D204" s="26"/>
    </row>
    <row r="205" customFormat="false" ht="15.75" hidden="false" customHeight="false" outlineLevel="0" collapsed="false">
      <c r="D205" s="26"/>
    </row>
    <row r="206" customFormat="false" ht="15.75" hidden="false" customHeight="false" outlineLevel="0" collapsed="false">
      <c r="D206" s="26"/>
    </row>
    <row r="207" customFormat="false" ht="15.75" hidden="false" customHeight="false" outlineLevel="0" collapsed="false">
      <c r="D207" s="26"/>
    </row>
    <row r="208" customFormat="false" ht="15.75" hidden="false" customHeight="false" outlineLevel="0" collapsed="false">
      <c r="D208" s="26"/>
    </row>
    <row r="209" customFormat="false" ht="15.75" hidden="false" customHeight="false" outlineLevel="0" collapsed="false">
      <c r="D209" s="26"/>
    </row>
    <row r="210" customFormat="false" ht="15.75" hidden="false" customHeight="false" outlineLevel="0" collapsed="false">
      <c r="D210" s="26"/>
    </row>
    <row r="211" customFormat="false" ht="15.75" hidden="false" customHeight="false" outlineLevel="0" collapsed="false">
      <c r="D211" s="26"/>
    </row>
    <row r="212" customFormat="false" ht="15.75" hidden="false" customHeight="false" outlineLevel="0" collapsed="false">
      <c r="D212" s="26"/>
    </row>
    <row r="213" customFormat="false" ht="15.75" hidden="false" customHeight="false" outlineLevel="0" collapsed="false">
      <c r="D213" s="26"/>
    </row>
    <row r="214" customFormat="false" ht="15.75" hidden="false" customHeight="false" outlineLevel="0" collapsed="false">
      <c r="D214" s="26"/>
    </row>
    <row r="215" customFormat="false" ht="15.75" hidden="false" customHeight="false" outlineLevel="0" collapsed="false">
      <c r="D215" s="26"/>
    </row>
    <row r="216" customFormat="false" ht="15.75" hidden="false" customHeight="false" outlineLevel="0" collapsed="false">
      <c r="D216" s="26"/>
    </row>
    <row r="217" customFormat="false" ht="15.75" hidden="false" customHeight="false" outlineLevel="0" collapsed="false">
      <c r="D217" s="26"/>
    </row>
    <row r="218" customFormat="false" ht="15.75" hidden="false" customHeight="false" outlineLevel="0" collapsed="false">
      <c r="D218" s="26"/>
    </row>
    <row r="219" customFormat="false" ht="15.75" hidden="false" customHeight="false" outlineLevel="0" collapsed="false">
      <c r="D219" s="26"/>
    </row>
    <row r="220" customFormat="false" ht="15.75" hidden="false" customHeight="false" outlineLevel="0" collapsed="false">
      <c r="D220" s="26"/>
    </row>
    <row r="221" customFormat="false" ht="15.75" hidden="false" customHeight="false" outlineLevel="0" collapsed="false">
      <c r="D221" s="26"/>
    </row>
    <row r="222" customFormat="false" ht="15.75" hidden="false" customHeight="false" outlineLevel="0" collapsed="false">
      <c r="D222" s="26"/>
    </row>
    <row r="223" customFormat="false" ht="15.75" hidden="false" customHeight="false" outlineLevel="0" collapsed="false">
      <c r="D223" s="26"/>
    </row>
    <row r="224" customFormat="false" ht="15.75" hidden="false" customHeight="false" outlineLevel="0" collapsed="false">
      <c r="D224" s="26"/>
    </row>
    <row r="225" customFormat="false" ht="15.75" hidden="false" customHeight="false" outlineLevel="0" collapsed="false">
      <c r="D225" s="26"/>
    </row>
    <row r="226" customFormat="false" ht="15.75" hidden="false" customHeight="false" outlineLevel="0" collapsed="false">
      <c r="D226" s="26"/>
    </row>
    <row r="227" customFormat="false" ht="15.75" hidden="false" customHeight="false" outlineLevel="0" collapsed="false">
      <c r="D227" s="26"/>
    </row>
    <row r="228" customFormat="false" ht="15.75" hidden="false" customHeight="false" outlineLevel="0" collapsed="false">
      <c r="D228" s="26"/>
    </row>
    <row r="229" customFormat="false" ht="15.75" hidden="false" customHeight="false" outlineLevel="0" collapsed="false">
      <c r="D229" s="26"/>
    </row>
    <row r="230" customFormat="false" ht="15.75" hidden="false" customHeight="false" outlineLevel="0" collapsed="false">
      <c r="D230" s="26"/>
    </row>
    <row r="231" customFormat="false" ht="15.75" hidden="false" customHeight="false" outlineLevel="0" collapsed="false">
      <c r="D231" s="26"/>
    </row>
    <row r="232" customFormat="false" ht="15.75" hidden="false" customHeight="false" outlineLevel="0" collapsed="false">
      <c r="D232" s="26"/>
    </row>
    <row r="233" customFormat="false" ht="15.75" hidden="false" customHeight="false" outlineLevel="0" collapsed="false">
      <c r="D233" s="26"/>
    </row>
    <row r="234" customFormat="false" ht="15.75" hidden="false" customHeight="false" outlineLevel="0" collapsed="false">
      <c r="D234" s="26"/>
    </row>
    <row r="235" customFormat="false" ht="15.75" hidden="false" customHeight="false" outlineLevel="0" collapsed="false">
      <c r="D235" s="26"/>
    </row>
    <row r="236" customFormat="false" ht="15.75" hidden="false" customHeight="false" outlineLevel="0" collapsed="false">
      <c r="D236" s="26"/>
    </row>
    <row r="237" customFormat="false" ht="15.75" hidden="false" customHeight="false" outlineLevel="0" collapsed="false">
      <c r="D237" s="26"/>
    </row>
    <row r="238" customFormat="false" ht="15.75" hidden="false" customHeight="false" outlineLevel="0" collapsed="false">
      <c r="D238" s="26"/>
    </row>
    <row r="239" customFormat="false" ht="15.75" hidden="false" customHeight="false" outlineLevel="0" collapsed="false">
      <c r="D239" s="26"/>
    </row>
    <row r="240" customFormat="false" ht="15.75" hidden="false" customHeight="false" outlineLevel="0" collapsed="false">
      <c r="D240" s="26"/>
    </row>
    <row r="241" customFormat="false" ht="15.75" hidden="false" customHeight="false" outlineLevel="0" collapsed="false">
      <c r="D241" s="26"/>
    </row>
    <row r="242" customFormat="false" ht="15.75" hidden="false" customHeight="false" outlineLevel="0" collapsed="false">
      <c r="D242" s="26"/>
    </row>
    <row r="243" customFormat="false" ht="15.75" hidden="false" customHeight="false" outlineLevel="0" collapsed="false">
      <c r="D243" s="26"/>
    </row>
    <row r="244" customFormat="false" ht="15.75" hidden="false" customHeight="false" outlineLevel="0" collapsed="false">
      <c r="D244" s="26"/>
    </row>
    <row r="245" customFormat="false" ht="15.75" hidden="false" customHeight="false" outlineLevel="0" collapsed="false">
      <c r="D245" s="26"/>
    </row>
    <row r="246" customFormat="false" ht="15.75" hidden="false" customHeight="false" outlineLevel="0" collapsed="false">
      <c r="D246" s="26"/>
    </row>
    <row r="247" customFormat="false" ht="15.75" hidden="false" customHeight="false" outlineLevel="0" collapsed="false">
      <c r="D247" s="26"/>
    </row>
    <row r="248" customFormat="false" ht="15.75" hidden="false" customHeight="false" outlineLevel="0" collapsed="false">
      <c r="D248" s="26"/>
    </row>
    <row r="249" customFormat="false" ht="15.75" hidden="false" customHeight="false" outlineLevel="0" collapsed="false">
      <c r="D249" s="26"/>
    </row>
    <row r="250" customFormat="false" ht="15.75" hidden="false" customHeight="false" outlineLevel="0" collapsed="false">
      <c r="D250" s="26"/>
    </row>
    <row r="251" customFormat="false" ht="15.75" hidden="false" customHeight="false" outlineLevel="0" collapsed="false">
      <c r="D251" s="26"/>
    </row>
    <row r="252" customFormat="false" ht="15.75" hidden="false" customHeight="false" outlineLevel="0" collapsed="false">
      <c r="D252" s="26"/>
    </row>
    <row r="253" customFormat="false" ht="15.75" hidden="false" customHeight="false" outlineLevel="0" collapsed="false">
      <c r="D253" s="26"/>
    </row>
    <row r="254" customFormat="false" ht="15.75" hidden="false" customHeight="false" outlineLevel="0" collapsed="false">
      <c r="D254" s="26"/>
    </row>
    <row r="255" customFormat="false" ht="15.75" hidden="false" customHeight="false" outlineLevel="0" collapsed="false">
      <c r="D255" s="26"/>
    </row>
    <row r="256" customFormat="false" ht="15.75" hidden="false" customHeight="false" outlineLevel="0" collapsed="false">
      <c r="D256" s="26"/>
    </row>
    <row r="257" customFormat="false" ht="15.75" hidden="false" customHeight="false" outlineLevel="0" collapsed="false">
      <c r="D257" s="26"/>
    </row>
    <row r="258" customFormat="false" ht="15.75" hidden="false" customHeight="false" outlineLevel="0" collapsed="false">
      <c r="D258" s="26"/>
    </row>
    <row r="259" customFormat="false" ht="15.75" hidden="false" customHeight="false" outlineLevel="0" collapsed="false">
      <c r="D259" s="26"/>
    </row>
    <row r="260" customFormat="false" ht="15.75" hidden="false" customHeight="false" outlineLevel="0" collapsed="false">
      <c r="D260" s="26"/>
    </row>
    <row r="261" customFormat="false" ht="15.75" hidden="false" customHeight="false" outlineLevel="0" collapsed="false">
      <c r="D261" s="26"/>
    </row>
    <row r="262" customFormat="false" ht="15.75" hidden="false" customHeight="false" outlineLevel="0" collapsed="false">
      <c r="D262" s="26"/>
    </row>
    <row r="263" customFormat="false" ht="15.75" hidden="false" customHeight="false" outlineLevel="0" collapsed="false">
      <c r="D263" s="26"/>
    </row>
    <row r="264" customFormat="false" ht="15.75" hidden="false" customHeight="false" outlineLevel="0" collapsed="false">
      <c r="D264" s="26"/>
    </row>
    <row r="265" customFormat="false" ht="15.75" hidden="false" customHeight="false" outlineLevel="0" collapsed="false">
      <c r="D265" s="26"/>
    </row>
    <row r="266" customFormat="false" ht="15.75" hidden="false" customHeight="false" outlineLevel="0" collapsed="false">
      <c r="D266" s="26"/>
    </row>
    <row r="267" customFormat="false" ht="15.75" hidden="false" customHeight="false" outlineLevel="0" collapsed="false">
      <c r="D267" s="26"/>
    </row>
    <row r="268" customFormat="false" ht="15.75" hidden="false" customHeight="false" outlineLevel="0" collapsed="false">
      <c r="D268" s="26"/>
    </row>
    <row r="269" customFormat="false" ht="15.75" hidden="false" customHeight="false" outlineLevel="0" collapsed="false">
      <c r="D269" s="26"/>
    </row>
    <row r="270" customFormat="false" ht="15.75" hidden="false" customHeight="false" outlineLevel="0" collapsed="false">
      <c r="D270" s="26"/>
    </row>
    <row r="271" customFormat="false" ht="15.75" hidden="false" customHeight="false" outlineLevel="0" collapsed="false">
      <c r="D271" s="26"/>
    </row>
    <row r="272" customFormat="false" ht="15.75" hidden="false" customHeight="false" outlineLevel="0" collapsed="false">
      <c r="D272" s="26"/>
    </row>
    <row r="273" customFormat="false" ht="15.75" hidden="false" customHeight="false" outlineLevel="0" collapsed="false">
      <c r="D273" s="26"/>
    </row>
    <row r="274" customFormat="false" ht="15.75" hidden="false" customHeight="false" outlineLevel="0" collapsed="false">
      <c r="D274" s="26"/>
    </row>
    <row r="275" customFormat="false" ht="15.75" hidden="false" customHeight="false" outlineLevel="0" collapsed="false">
      <c r="D275" s="26"/>
    </row>
    <row r="276" customFormat="false" ht="15.75" hidden="false" customHeight="false" outlineLevel="0" collapsed="false">
      <c r="D276" s="26"/>
    </row>
    <row r="277" customFormat="false" ht="15.75" hidden="false" customHeight="false" outlineLevel="0" collapsed="false">
      <c r="D277" s="26"/>
    </row>
    <row r="278" customFormat="false" ht="15.75" hidden="false" customHeight="false" outlineLevel="0" collapsed="false">
      <c r="D278" s="26"/>
    </row>
    <row r="279" customFormat="false" ht="15.75" hidden="false" customHeight="false" outlineLevel="0" collapsed="false">
      <c r="D279" s="26"/>
    </row>
    <row r="280" customFormat="false" ht="15.75" hidden="false" customHeight="false" outlineLevel="0" collapsed="false">
      <c r="D280" s="26"/>
    </row>
    <row r="281" customFormat="false" ht="15.75" hidden="false" customHeight="false" outlineLevel="0" collapsed="false">
      <c r="D281" s="26"/>
    </row>
    <row r="282" customFormat="false" ht="15.75" hidden="false" customHeight="false" outlineLevel="0" collapsed="false">
      <c r="D282" s="26"/>
    </row>
    <row r="283" customFormat="false" ht="15.75" hidden="false" customHeight="false" outlineLevel="0" collapsed="false">
      <c r="D283" s="26"/>
    </row>
    <row r="284" customFormat="false" ht="15.75" hidden="false" customHeight="false" outlineLevel="0" collapsed="false">
      <c r="D284" s="26"/>
    </row>
    <row r="285" customFormat="false" ht="15.75" hidden="false" customHeight="false" outlineLevel="0" collapsed="false">
      <c r="D285" s="26"/>
    </row>
    <row r="286" customFormat="false" ht="15.75" hidden="false" customHeight="false" outlineLevel="0" collapsed="false">
      <c r="D286" s="26"/>
    </row>
    <row r="287" customFormat="false" ht="15.75" hidden="false" customHeight="false" outlineLevel="0" collapsed="false">
      <c r="D287" s="26"/>
    </row>
    <row r="288" customFormat="false" ht="15.75" hidden="false" customHeight="false" outlineLevel="0" collapsed="false">
      <c r="D288" s="26"/>
    </row>
    <row r="289" customFormat="false" ht="15.75" hidden="false" customHeight="false" outlineLevel="0" collapsed="false">
      <c r="D289" s="26"/>
    </row>
    <row r="290" customFormat="false" ht="15.75" hidden="false" customHeight="false" outlineLevel="0" collapsed="false">
      <c r="D290" s="26"/>
    </row>
    <row r="291" customFormat="false" ht="15.75" hidden="false" customHeight="false" outlineLevel="0" collapsed="false">
      <c r="D291" s="26"/>
    </row>
    <row r="292" customFormat="false" ht="15.75" hidden="false" customHeight="false" outlineLevel="0" collapsed="false">
      <c r="D292" s="26"/>
    </row>
    <row r="293" customFormat="false" ht="15.75" hidden="false" customHeight="false" outlineLevel="0" collapsed="false">
      <c r="D293" s="26"/>
    </row>
    <row r="294" customFormat="false" ht="15.75" hidden="false" customHeight="false" outlineLevel="0" collapsed="false">
      <c r="D294" s="26"/>
    </row>
    <row r="295" customFormat="false" ht="15.75" hidden="false" customHeight="false" outlineLevel="0" collapsed="false">
      <c r="D295" s="26"/>
    </row>
    <row r="296" customFormat="false" ht="15.75" hidden="false" customHeight="false" outlineLevel="0" collapsed="false">
      <c r="D296" s="26"/>
    </row>
    <row r="297" customFormat="false" ht="15.75" hidden="false" customHeight="false" outlineLevel="0" collapsed="false">
      <c r="D297" s="26"/>
    </row>
    <row r="298" customFormat="false" ht="15.75" hidden="false" customHeight="false" outlineLevel="0" collapsed="false">
      <c r="D298" s="26"/>
    </row>
    <row r="299" customFormat="false" ht="15.75" hidden="false" customHeight="false" outlineLevel="0" collapsed="false">
      <c r="D299" s="26"/>
    </row>
    <row r="300" customFormat="false" ht="15.75" hidden="false" customHeight="false" outlineLevel="0" collapsed="false">
      <c r="D300" s="26"/>
    </row>
    <row r="301" customFormat="false" ht="15.75" hidden="false" customHeight="false" outlineLevel="0" collapsed="false">
      <c r="D301" s="26"/>
    </row>
    <row r="302" customFormat="false" ht="15.75" hidden="false" customHeight="false" outlineLevel="0" collapsed="false">
      <c r="D302" s="26"/>
    </row>
    <row r="303" customFormat="false" ht="15.75" hidden="false" customHeight="false" outlineLevel="0" collapsed="false">
      <c r="D303" s="26"/>
    </row>
    <row r="304" customFormat="false" ht="15.75" hidden="false" customHeight="false" outlineLevel="0" collapsed="false">
      <c r="D304" s="26"/>
    </row>
    <row r="305" customFormat="false" ht="15.75" hidden="false" customHeight="false" outlineLevel="0" collapsed="false">
      <c r="D305" s="26"/>
    </row>
    <row r="306" customFormat="false" ht="15.75" hidden="false" customHeight="false" outlineLevel="0" collapsed="false">
      <c r="D306" s="26"/>
    </row>
    <row r="307" customFormat="false" ht="15.75" hidden="false" customHeight="false" outlineLevel="0" collapsed="false">
      <c r="D307" s="26"/>
    </row>
    <row r="308" customFormat="false" ht="15.75" hidden="false" customHeight="false" outlineLevel="0" collapsed="false">
      <c r="D308" s="26"/>
    </row>
    <row r="309" customFormat="false" ht="15.75" hidden="false" customHeight="false" outlineLevel="0" collapsed="false">
      <c r="D309" s="26"/>
    </row>
    <row r="310" customFormat="false" ht="15.75" hidden="false" customHeight="false" outlineLevel="0" collapsed="false">
      <c r="D310" s="26"/>
    </row>
    <row r="311" customFormat="false" ht="15.75" hidden="false" customHeight="false" outlineLevel="0" collapsed="false">
      <c r="D311" s="26"/>
    </row>
    <row r="312" customFormat="false" ht="15.75" hidden="false" customHeight="false" outlineLevel="0" collapsed="false">
      <c r="D312" s="26"/>
    </row>
    <row r="313" customFormat="false" ht="15.75" hidden="false" customHeight="false" outlineLevel="0" collapsed="false">
      <c r="D313" s="26"/>
    </row>
    <row r="314" customFormat="false" ht="15.75" hidden="false" customHeight="false" outlineLevel="0" collapsed="false">
      <c r="D314" s="26"/>
    </row>
    <row r="315" customFormat="false" ht="15.75" hidden="false" customHeight="false" outlineLevel="0" collapsed="false">
      <c r="D315" s="26"/>
    </row>
    <row r="316" customFormat="false" ht="15.75" hidden="false" customHeight="false" outlineLevel="0" collapsed="false">
      <c r="D316" s="26"/>
    </row>
    <row r="317" customFormat="false" ht="15.75" hidden="false" customHeight="false" outlineLevel="0" collapsed="false">
      <c r="D317" s="26"/>
    </row>
    <row r="318" customFormat="false" ht="15.75" hidden="false" customHeight="false" outlineLevel="0" collapsed="false">
      <c r="D318" s="26"/>
    </row>
    <row r="319" customFormat="false" ht="15.75" hidden="false" customHeight="false" outlineLevel="0" collapsed="false">
      <c r="D319" s="26"/>
    </row>
    <row r="320" customFormat="false" ht="15.75" hidden="false" customHeight="false" outlineLevel="0" collapsed="false">
      <c r="D320" s="26"/>
    </row>
    <row r="321" customFormat="false" ht="15.75" hidden="false" customHeight="false" outlineLevel="0" collapsed="false">
      <c r="D321" s="26"/>
    </row>
    <row r="322" customFormat="false" ht="15.75" hidden="false" customHeight="false" outlineLevel="0" collapsed="false">
      <c r="D322" s="26"/>
    </row>
    <row r="323" customFormat="false" ht="15.75" hidden="false" customHeight="false" outlineLevel="0" collapsed="false">
      <c r="D323" s="26"/>
    </row>
    <row r="324" customFormat="false" ht="15.75" hidden="false" customHeight="false" outlineLevel="0" collapsed="false">
      <c r="D324" s="26"/>
    </row>
    <row r="325" customFormat="false" ht="15.75" hidden="false" customHeight="false" outlineLevel="0" collapsed="false">
      <c r="D325" s="26"/>
    </row>
    <row r="326" customFormat="false" ht="15.75" hidden="false" customHeight="false" outlineLevel="0" collapsed="false">
      <c r="D326" s="26"/>
    </row>
    <row r="327" customFormat="false" ht="15.75" hidden="false" customHeight="false" outlineLevel="0" collapsed="false">
      <c r="D327" s="26"/>
    </row>
    <row r="328" customFormat="false" ht="15.75" hidden="false" customHeight="false" outlineLevel="0" collapsed="false">
      <c r="D328" s="26"/>
    </row>
    <row r="329" customFormat="false" ht="15.75" hidden="false" customHeight="false" outlineLevel="0" collapsed="false">
      <c r="D329" s="26"/>
    </row>
    <row r="330" customFormat="false" ht="15.75" hidden="false" customHeight="false" outlineLevel="0" collapsed="false">
      <c r="D330" s="26"/>
    </row>
    <row r="331" customFormat="false" ht="15.75" hidden="false" customHeight="false" outlineLevel="0" collapsed="false">
      <c r="D331" s="26"/>
    </row>
    <row r="332" customFormat="false" ht="15.75" hidden="false" customHeight="false" outlineLevel="0" collapsed="false">
      <c r="D332" s="26"/>
    </row>
    <row r="333" customFormat="false" ht="15.75" hidden="false" customHeight="false" outlineLevel="0" collapsed="false">
      <c r="D333" s="26"/>
    </row>
    <row r="334" customFormat="false" ht="15.75" hidden="false" customHeight="false" outlineLevel="0" collapsed="false">
      <c r="D334" s="26"/>
    </row>
    <row r="335" customFormat="false" ht="15.75" hidden="false" customHeight="false" outlineLevel="0" collapsed="false">
      <c r="D335" s="26"/>
    </row>
    <row r="336" customFormat="false" ht="15.75" hidden="false" customHeight="false" outlineLevel="0" collapsed="false">
      <c r="D336" s="26"/>
    </row>
    <row r="337" customFormat="false" ht="15.75" hidden="false" customHeight="false" outlineLevel="0" collapsed="false">
      <c r="D337" s="26"/>
    </row>
    <row r="338" customFormat="false" ht="15.75" hidden="false" customHeight="false" outlineLevel="0" collapsed="false">
      <c r="D338" s="26"/>
    </row>
    <row r="339" customFormat="false" ht="15.75" hidden="false" customHeight="false" outlineLevel="0" collapsed="false">
      <c r="D339" s="26"/>
    </row>
    <row r="340" customFormat="false" ht="15.75" hidden="false" customHeight="false" outlineLevel="0" collapsed="false">
      <c r="D340" s="26"/>
    </row>
    <row r="341" customFormat="false" ht="15.75" hidden="false" customHeight="false" outlineLevel="0" collapsed="false">
      <c r="D341" s="26"/>
    </row>
    <row r="342" customFormat="false" ht="15.75" hidden="false" customHeight="false" outlineLevel="0" collapsed="false">
      <c r="D342" s="26"/>
    </row>
    <row r="343" customFormat="false" ht="15.75" hidden="false" customHeight="false" outlineLevel="0" collapsed="false">
      <c r="D343" s="26"/>
    </row>
    <row r="344" customFormat="false" ht="15.75" hidden="false" customHeight="false" outlineLevel="0" collapsed="false">
      <c r="D344" s="26"/>
    </row>
    <row r="345" customFormat="false" ht="15.75" hidden="false" customHeight="false" outlineLevel="0" collapsed="false">
      <c r="D345" s="26"/>
    </row>
    <row r="346" customFormat="false" ht="15.75" hidden="false" customHeight="false" outlineLevel="0" collapsed="false">
      <c r="D346" s="26"/>
    </row>
    <row r="347" customFormat="false" ht="15.75" hidden="false" customHeight="false" outlineLevel="0" collapsed="false">
      <c r="D347" s="26"/>
    </row>
    <row r="348" customFormat="false" ht="15.75" hidden="false" customHeight="false" outlineLevel="0" collapsed="false">
      <c r="D348" s="26"/>
    </row>
    <row r="349" customFormat="false" ht="15.75" hidden="false" customHeight="false" outlineLevel="0" collapsed="false">
      <c r="D349" s="26"/>
    </row>
    <row r="350" customFormat="false" ht="15.75" hidden="false" customHeight="false" outlineLevel="0" collapsed="false">
      <c r="D350" s="26"/>
    </row>
    <row r="351" customFormat="false" ht="15.75" hidden="false" customHeight="false" outlineLevel="0" collapsed="false">
      <c r="D351" s="26"/>
    </row>
    <row r="352" customFormat="false" ht="15.75" hidden="false" customHeight="false" outlineLevel="0" collapsed="false">
      <c r="D352" s="26"/>
    </row>
    <row r="353" customFormat="false" ht="15.75" hidden="false" customHeight="false" outlineLevel="0" collapsed="false">
      <c r="D353" s="26"/>
    </row>
    <row r="354" customFormat="false" ht="15.75" hidden="false" customHeight="false" outlineLevel="0" collapsed="false">
      <c r="D354" s="26"/>
    </row>
    <row r="355" customFormat="false" ht="15.75" hidden="false" customHeight="false" outlineLevel="0" collapsed="false">
      <c r="D355" s="26"/>
    </row>
    <row r="356" customFormat="false" ht="15.75" hidden="false" customHeight="false" outlineLevel="0" collapsed="false">
      <c r="D356" s="26"/>
    </row>
    <row r="357" customFormat="false" ht="15.75" hidden="false" customHeight="false" outlineLevel="0" collapsed="false">
      <c r="D357" s="26"/>
    </row>
    <row r="358" customFormat="false" ht="15.75" hidden="false" customHeight="false" outlineLevel="0" collapsed="false">
      <c r="D358" s="26"/>
    </row>
    <row r="359" customFormat="false" ht="15.75" hidden="false" customHeight="false" outlineLevel="0" collapsed="false">
      <c r="D359" s="26"/>
    </row>
    <row r="360" customFormat="false" ht="15.75" hidden="false" customHeight="false" outlineLevel="0" collapsed="false">
      <c r="D360" s="26"/>
    </row>
    <row r="361" customFormat="false" ht="15.75" hidden="false" customHeight="false" outlineLevel="0" collapsed="false">
      <c r="D361" s="26"/>
    </row>
    <row r="362" customFormat="false" ht="15.75" hidden="false" customHeight="false" outlineLevel="0" collapsed="false">
      <c r="D362" s="26"/>
    </row>
    <row r="363" customFormat="false" ht="15.75" hidden="false" customHeight="false" outlineLevel="0" collapsed="false">
      <c r="D363" s="26"/>
    </row>
    <row r="364" customFormat="false" ht="15.75" hidden="false" customHeight="false" outlineLevel="0" collapsed="false">
      <c r="D364" s="26"/>
    </row>
    <row r="365" customFormat="false" ht="15.75" hidden="false" customHeight="false" outlineLevel="0" collapsed="false">
      <c r="D365" s="26"/>
    </row>
    <row r="366" customFormat="false" ht="15.75" hidden="false" customHeight="false" outlineLevel="0" collapsed="false">
      <c r="D366" s="26"/>
    </row>
    <row r="367" customFormat="false" ht="15.75" hidden="false" customHeight="false" outlineLevel="0" collapsed="false">
      <c r="D367" s="26"/>
    </row>
    <row r="368" customFormat="false" ht="15.75" hidden="false" customHeight="false" outlineLevel="0" collapsed="false">
      <c r="D368" s="26"/>
    </row>
    <row r="369" customFormat="false" ht="15.75" hidden="false" customHeight="false" outlineLevel="0" collapsed="false">
      <c r="D369" s="26"/>
    </row>
    <row r="370" customFormat="false" ht="15.75" hidden="false" customHeight="false" outlineLevel="0" collapsed="false">
      <c r="D370" s="26"/>
    </row>
    <row r="371" customFormat="false" ht="15.75" hidden="false" customHeight="false" outlineLevel="0" collapsed="false">
      <c r="D371" s="26"/>
    </row>
    <row r="372" customFormat="false" ht="15.75" hidden="false" customHeight="false" outlineLevel="0" collapsed="false">
      <c r="D372" s="26"/>
    </row>
    <row r="373" customFormat="false" ht="15.75" hidden="false" customHeight="false" outlineLevel="0" collapsed="false">
      <c r="D373" s="26"/>
    </row>
    <row r="374" customFormat="false" ht="15.75" hidden="false" customHeight="false" outlineLevel="0" collapsed="false">
      <c r="D374" s="26"/>
    </row>
    <row r="375" customFormat="false" ht="15.75" hidden="false" customHeight="false" outlineLevel="0" collapsed="false">
      <c r="D375" s="26"/>
    </row>
    <row r="376" customFormat="false" ht="15.75" hidden="false" customHeight="false" outlineLevel="0" collapsed="false">
      <c r="D376" s="26"/>
    </row>
    <row r="377" customFormat="false" ht="15.75" hidden="false" customHeight="false" outlineLevel="0" collapsed="false">
      <c r="D377" s="26"/>
    </row>
    <row r="378" customFormat="false" ht="15.75" hidden="false" customHeight="false" outlineLevel="0" collapsed="false">
      <c r="D378" s="26"/>
    </row>
    <row r="379" customFormat="false" ht="15.75" hidden="false" customHeight="false" outlineLevel="0" collapsed="false">
      <c r="D379" s="26"/>
    </row>
    <row r="380" customFormat="false" ht="15.75" hidden="false" customHeight="false" outlineLevel="0" collapsed="false">
      <c r="D380" s="26"/>
    </row>
    <row r="381" customFormat="false" ht="15.75" hidden="false" customHeight="false" outlineLevel="0" collapsed="false">
      <c r="D381" s="26"/>
    </row>
    <row r="382" customFormat="false" ht="15.75" hidden="false" customHeight="false" outlineLevel="0" collapsed="false">
      <c r="D382" s="26"/>
    </row>
    <row r="383" customFormat="false" ht="15.75" hidden="false" customHeight="false" outlineLevel="0" collapsed="false">
      <c r="D383" s="26"/>
    </row>
    <row r="384" customFormat="false" ht="15.75" hidden="false" customHeight="false" outlineLevel="0" collapsed="false">
      <c r="D384" s="26"/>
    </row>
    <row r="385" customFormat="false" ht="15.75" hidden="false" customHeight="false" outlineLevel="0" collapsed="false">
      <c r="D385" s="26"/>
    </row>
    <row r="386" customFormat="false" ht="15.75" hidden="false" customHeight="false" outlineLevel="0" collapsed="false">
      <c r="D386" s="26"/>
    </row>
    <row r="387" customFormat="false" ht="15.75" hidden="false" customHeight="false" outlineLevel="0" collapsed="false">
      <c r="D387" s="26"/>
    </row>
    <row r="388" customFormat="false" ht="15.75" hidden="false" customHeight="false" outlineLevel="0" collapsed="false">
      <c r="D388" s="26"/>
    </row>
    <row r="389" customFormat="false" ht="15.75" hidden="false" customHeight="false" outlineLevel="0" collapsed="false">
      <c r="D389" s="26"/>
    </row>
    <row r="390" customFormat="false" ht="15.75" hidden="false" customHeight="false" outlineLevel="0" collapsed="false">
      <c r="D390" s="26"/>
    </row>
    <row r="391" customFormat="false" ht="15.75" hidden="false" customHeight="false" outlineLevel="0" collapsed="false">
      <c r="D391" s="26"/>
    </row>
    <row r="392" customFormat="false" ht="15.75" hidden="false" customHeight="false" outlineLevel="0" collapsed="false">
      <c r="D392" s="26"/>
    </row>
    <row r="393" customFormat="false" ht="15.75" hidden="false" customHeight="false" outlineLevel="0" collapsed="false">
      <c r="D393" s="26"/>
    </row>
    <row r="394" customFormat="false" ht="15.75" hidden="false" customHeight="false" outlineLevel="0" collapsed="false">
      <c r="D394" s="26"/>
    </row>
    <row r="395" customFormat="false" ht="15.75" hidden="false" customHeight="false" outlineLevel="0" collapsed="false">
      <c r="D395" s="26"/>
    </row>
    <row r="396" customFormat="false" ht="15.75" hidden="false" customHeight="false" outlineLevel="0" collapsed="false">
      <c r="D396" s="26"/>
    </row>
    <row r="397" customFormat="false" ht="15.75" hidden="false" customHeight="false" outlineLevel="0" collapsed="false">
      <c r="D397" s="26"/>
    </row>
    <row r="398" customFormat="false" ht="15.75" hidden="false" customHeight="false" outlineLevel="0" collapsed="false">
      <c r="D398" s="26"/>
    </row>
    <row r="399" customFormat="false" ht="15.75" hidden="false" customHeight="false" outlineLevel="0" collapsed="false">
      <c r="D399" s="26"/>
    </row>
    <row r="400" customFormat="false" ht="15.75" hidden="false" customHeight="false" outlineLevel="0" collapsed="false">
      <c r="D400" s="26"/>
    </row>
    <row r="401" customFormat="false" ht="15.75" hidden="false" customHeight="false" outlineLevel="0" collapsed="false">
      <c r="D401" s="26"/>
    </row>
    <row r="402" customFormat="false" ht="15.75" hidden="false" customHeight="false" outlineLevel="0" collapsed="false">
      <c r="D402" s="26"/>
    </row>
    <row r="403" customFormat="false" ht="15.75" hidden="false" customHeight="false" outlineLevel="0" collapsed="false">
      <c r="D403" s="26"/>
    </row>
    <row r="404" customFormat="false" ht="15.75" hidden="false" customHeight="false" outlineLevel="0" collapsed="false">
      <c r="D404" s="26"/>
    </row>
    <row r="405" customFormat="false" ht="15.75" hidden="false" customHeight="false" outlineLevel="0" collapsed="false">
      <c r="D405" s="26"/>
    </row>
    <row r="406" customFormat="false" ht="15.75" hidden="false" customHeight="false" outlineLevel="0" collapsed="false">
      <c r="D406" s="26"/>
    </row>
    <row r="407" customFormat="false" ht="15.75" hidden="false" customHeight="false" outlineLevel="0" collapsed="false">
      <c r="D407" s="26"/>
    </row>
    <row r="408" customFormat="false" ht="15.75" hidden="false" customHeight="false" outlineLevel="0" collapsed="false">
      <c r="D408" s="26"/>
    </row>
    <row r="409" customFormat="false" ht="15.75" hidden="false" customHeight="false" outlineLevel="0" collapsed="false">
      <c r="D409" s="26"/>
    </row>
    <row r="410" customFormat="false" ht="15.75" hidden="false" customHeight="false" outlineLevel="0" collapsed="false">
      <c r="D410" s="26"/>
    </row>
    <row r="411" customFormat="false" ht="15.75" hidden="false" customHeight="false" outlineLevel="0" collapsed="false">
      <c r="D411" s="26"/>
    </row>
    <row r="412" customFormat="false" ht="15.75" hidden="false" customHeight="false" outlineLevel="0" collapsed="false">
      <c r="D412" s="26"/>
    </row>
    <row r="413" customFormat="false" ht="15.75" hidden="false" customHeight="false" outlineLevel="0" collapsed="false">
      <c r="D413" s="26"/>
    </row>
    <row r="414" customFormat="false" ht="15.75" hidden="false" customHeight="false" outlineLevel="0" collapsed="false">
      <c r="D414" s="26"/>
    </row>
    <row r="415" customFormat="false" ht="15.75" hidden="false" customHeight="false" outlineLevel="0" collapsed="false">
      <c r="D415" s="26"/>
    </row>
    <row r="416" customFormat="false" ht="15.75" hidden="false" customHeight="false" outlineLevel="0" collapsed="false">
      <c r="D416" s="26"/>
    </row>
    <row r="417" customFormat="false" ht="15.75" hidden="false" customHeight="false" outlineLevel="0" collapsed="false">
      <c r="D417" s="26"/>
    </row>
    <row r="418" customFormat="false" ht="15.75" hidden="false" customHeight="false" outlineLevel="0" collapsed="false">
      <c r="D418" s="26"/>
    </row>
    <row r="419" customFormat="false" ht="15.75" hidden="false" customHeight="false" outlineLevel="0" collapsed="false">
      <c r="D419" s="26"/>
    </row>
    <row r="420" customFormat="false" ht="15.75" hidden="false" customHeight="false" outlineLevel="0" collapsed="false">
      <c r="D420" s="26"/>
    </row>
    <row r="421" customFormat="false" ht="15.75" hidden="false" customHeight="false" outlineLevel="0" collapsed="false">
      <c r="D421" s="26"/>
    </row>
    <row r="422" customFormat="false" ht="15.75" hidden="false" customHeight="false" outlineLevel="0" collapsed="false">
      <c r="D422" s="26"/>
    </row>
    <row r="423" customFormat="false" ht="15.75" hidden="false" customHeight="false" outlineLevel="0" collapsed="false">
      <c r="D423" s="26"/>
    </row>
    <row r="424" customFormat="false" ht="15.75" hidden="false" customHeight="false" outlineLevel="0" collapsed="false">
      <c r="D424" s="26"/>
    </row>
    <row r="425" customFormat="false" ht="15.75" hidden="false" customHeight="false" outlineLevel="0" collapsed="false">
      <c r="D425" s="26"/>
    </row>
    <row r="426" customFormat="false" ht="15.75" hidden="false" customHeight="false" outlineLevel="0" collapsed="false">
      <c r="D426" s="26"/>
    </row>
    <row r="427" customFormat="false" ht="15.75" hidden="false" customHeight="false" outlineLevel="0" collapsed="false">
      <c r="D427" s="26"/>
    </row>
    <row r="428" customFormat="false" ht="15.75" hidden="false" customHeight="false" outlineLevel="0" collapsed="false">
      <c r="D428" s="26"/>
    </row>
    <row r="429" customFormat="false" ht="15.75" hidden="false" customHeight="false" outlineLevel="0" collapsed="false">
      <c r="D429" s="26"/>
    </row>
    <row r="430" customFormat="false" ht="15.75" hidden="false" customHeight="false" outlineLevel="0" collapsed="false">
      <c r="D430" s="26"/>
    </row>
    <row r="431" customFormat="false" ht="15.75" hidden="false" customHeight="false" outlineLevel="0" collapsed="false">
      <c r="D431" s="26"/>
    </row>
    <row r="432" customFormat="false" ht="15.75" hidden="false" customHeight="false" outlineLevel="0" collapsed="false">
      <c r="D432" s="26"/>
    </row>
    <row r="433" customFormat="false" ht="15.75" hidden="false" customHeight="false" outlineLevel="0" collapsed="false">
      <c r="D433" s="26"/>
    </row>
    <row r="434" customFormat="false" ht="15.75" hidden="false" customHeight="false" outlineLevel="0" collapsed="false">
      <c r="D434" s="26"/>
    </row>
    <row r="435" customFormat="false" ht="15.75" hidden="false" customHeight="false" outlineLevel="0" collapsed="false">
      <c r="D435" s="26"/>
    </row>
    <row r="436" customFormat="false" ht="15.75" hidden="false" customHeight="false" outlineLevel="0" collapsed="false">
      <c r="D436" s="26"/>
    </row>
    <row r="437" customFormat="false" ht="15.75" hidden="false" customHeight="false" outlineLevel="0" collapsed="false">
      <c r="D437" s="26"/>
    </row>
    <row r="438" customFormat="false" ht="15.75" hidden="false" customHeight="false" outlineLevel="0" collapsed="false">
      <c r="D438" s="26"/>
    </row>
    <row r="439" customFormat="false" ht="15.75" hidden="false" customHeight="false" outlineLevel="0" collapsed="false">
      <c r="D439" s="26"/>
    </row>
    <row r="440" customFormat="false" ht="15.75" hidden="false" customHeight="false" outlineLevel="0" collapsed="false">
      <c r="D440" s="26"/>
    </row>
    <row r="441" customFormat="false" ht="15.75" hidden="false" customHeight="false" outlineLevel="0" collapsed="false">
      <c r="D441" s="26"/>
    </row>
    <row r="442" customFormat="false" ht="15.75" hidden="false" customHeight="false" outlineLevel="0" collapsed="false">
      <c r="D442" s="26"/>
    </row>
    <row r="443" customFormat="false" ht="15.75" hidden="false" customHeight="false" outlineLevel="0" collapsed="false">
      <c r="D443" s="26"/>
    </row>
    <row r="444" customFormat="false" ht="15.75" hidden="false" customHeight="false" outlineLevel="0" collapsed="false">
      <c r="D444" s="26"/>
    </row>
    <row r="445" customFormat="false" ht="15.75" hidden="false" customHeight="false" outlineLevel="0" collapsed="false">
      <c r="D445" s="26"/>
    </row>
    <row r="446" customFormat="false" ht="15.75" hidden="false" customHeight="false" outlineLevel="0" collapsed="false">
      <c r="D446" s="26"/>
    </row>
    <row r="447" customFormat="false" ht="15.75" hidden="false" customHeight="false" outlineLevel="0" collapsed="false">
      <c r="D447" s="26"/>
    </row>
    <row r="448" customFormat="false" ht="15.75" hidden="false" customHeight="false" outlineLevel="0" collapsed="false">
      <c r="D448" s="26"/>
    </row>
    <row r="449" customFormat="false" ht="15.75" hidden="false" customHeight="false" outlineLevel="0" collapsed="false">
      <c r="D449" s="26"/>
    </row>
    <row r="450" customFormat="false" ht="15.75" hidden="false" customHeight="false" outlineLevel="0" collapsed="false">
      <c r="D450" s="26"/>
    </row>
    <row r="451" customFormat="false" ht="15.75" hidden="false" customHeight="false" outlineLevel="0" collapsed="false">
      <c r="D451" s="26"/>
    </row>
    <row r="452" customFormat="false" ht="15.75" hidden="false" customHeight="false" outlineLevel="0" collapsed="false">
      <c r="D452" s="26"/>
    </row>
    <row r="453" customFormat="false" ht="15.75" hidden="false" customHeight="false" outlineLevel="0" collapsed="false">
      <c r="D453" s="26"/>
    </row>
    <row r="454" customFormat="false" ht="15.75" hidden="false" customHeight="false" outlineLevel="0" collapsed="false">
      <c r="D454" s="26"/>
    </row>
    <row r="455" customFormat="false" ht="15.75" hidden="false" customHeight="false" outlineLevel="0" collapsed="false">
      <c r="D455" s="26"/>
    </row>
    <row r="456" customFormat="false" ht="15.75" hidden="false" customHeight="false" outlineLevel="0" collapsed="false">
      <c r="D456" s="26"/>
    </row>
    <row r="457" customFormat="false" ht="15.75" hidden="false" customHeight="false" outlineLevel="0" collapsed="false">
      <c r="D457" s="26"/>
    </row>
    <row r="458" customFormat="false" ht="15.75" hidden="false" customHeight="false" outlineLevel="0" collapsed="false">
      <c r="D458" s="26"/>
    </row>
    <row r="459" customFormat="false" ht="15.75" hidden="false" customHeight="false" outlineLevel="0" collapsed="false">
      <c r="D459" s="26"/>
    </row>
    <row r="460" customFormat="false" ht="15.75" hidden="false" customHeight="false" outlineLevel="0" collapsed="false">
      <c r="D460" s="26"/>
    </row>
    <row r="461" customFormat="false" ht="15.75" hidden="false" customHeight="false" outlineLevel="0" collapsed="false">
      <c r="D461" s="26"/>
    </row>
    <row r="462" customFormat="false" ht="15.75" hidden="false" customHeight="false" outlineLevel="0" collapsed="false">
      <c r="D462" s="26"/>
    </row>
    <row r="463" customFormat="false" ht="15.75" hidden="false" customHeight="false" outlineLevel="0" collapsed="false">
      <c r="D463" s="26"/>
    </row>
    <row r="464" customFormat="false" ht="15.75" hidden="false" customHeight="false" outlineLevel="0" collapsed="false">
      <c r="D464" s="26"/>
    </row>
    <row r="465" customFormat="false" ht="15.75" hidden="false" customHeight="false" outlineLevel="0" collapsed="false">
      <c r="D465" s="26"/>
    </row>
    <row r="466" customFormat="false" ht="15.75" hidden="false" customHeight="false" outlineLevel="0" collapsed="false">
      <c r="D466" s="26"/>
    </row>
    <row r="467" customFormat="false" ht="15.75" hidden="false" customHeight="false" outlineLevel="0" collapsed="false">
      <c r="D467" s="26"/>
    </row>
    <row r="468" customFormat="false" ht="15.75" hidden="false" customHeight="false" outlineLevel="0" collapsed="false">
      <c r="D468" s="26"/>
    </row>
    <row r="469" customFormat="false" ht="15.75" hidden="false" customHeight="false" outlineLevel="0" collapsed="false">
      <c r="D469" s="26"/>
    </row>
    <row r="470" customFormat="false" ht="15.75" hidden="false" customHeight="false" outlineLevel="0" collapsed="false">
      <c r="D470" s="26"/>
    </row>
    <row r="471" customFormat="false" ht="15.75" hidden="false" customHeight="false" outlineLevel="0" collapsed="false">
      <c r="D471" s="26"/>
    </row>
    <row r="472" customFormat="false" ht="15.75" hidden="false" customHeight="false" outlineLevel="0" collapsed="false">
      <c r="D472" s="26"/>
    </row>
    <row r="473" customFormat="false" ht="15.75" hidden="false" customHeight="false" outlineLevel="0" collapsed="false">
      <c r="D473" s="26"/>
    </row>
    <row r="474" customFormat="false" ht="15.75" hidden="false" customHeight="false" outlineLevel="0" collapsed="false">
      <c r="D474" s="26"/>
    </row>
    <row r="475" customFormat="false" ht="15.75" hidden="false" customHeight="false" outlineLevel="0" collapsed="false">
      <c r="D475" s="26"/>
    </row>
    <row r="476" customFormat="false" ht="15.75" hidden="false" customHeight="false" outlineLevel="0" collapsed="false">
      <c r="D476" s="26"/>
    </row>
    <row r="477" customFormat="false" ht="15.75" hidden="false" customHeight="false" outlineLevel="0" collapsed="false">
      <c r="D477" s="26"/>
    </row>
    <row r="478" customFormat="false" ht="15.75" hidden="false" customHeight="false" outlineLevel="0" collapsed="false">
      <c r="D478" s="26"/>
    </row>
    <row r="479" customFormat="false" ht="15.75" hidden="false" customHeight="false" outlineLevel="0" collapsed="false">
      <c r="D479" s="26"/>
    </row>
    <row r="480" customFormat="false" ht="15.75" hidden="false" customHeight="false" outlineLevel="0" collapsed="false">
      <c r="D480" s="26"/>
    </row>
    <row r="481" customFormat="false" ht="15.75" hidden="false" customHeight="false" outlineLevel="0" collapsed="false">
      <c r="D481" s="26"/>
    </row>
    <row r="482" customFormat="false" ht="15.75" hidden="false" customHeight="false" outlineLevel="0" collapsed="false">
      <c r="D482" s="26"/>
    </row>
    <row r="483" customFormat="false" ht="15.75" hidden="false" customHeight="false" outlineLevel="0" collapsed="false">
      <c r="D483" s="26"/>
    </row>
    <row r="484" customFormat="false" ht="15.75" hidden="false" customHeight="false" outlineLevel="0" collapsed="false">
      <c r="D484" s="26"/>
    </row>
    <row r="485" customFormat="false" ht="15.75" hidden="false" customHeight="false" outlineLevel="0" collapsed="false">
      <c r="D485" s="26"/>
    </row>
    <row r="486" customFormat="false" ht="15.75" hidden="false" customHeight="false" outlineLevel="0" collapsed="false">
      <c r="D486" s="26"/>
    </row>
    <row r="487" customFormat="false" ht="15.75" hidden="false" customHeight="false" outlineLevel="0" collapsed="false">
      <c r="D487" s="26"/>
    </row>
    <row r="488" customFormat="false" ht="15.75" hidden="false" customHeight="false" outlineLevel="0" collapsed="false">
      <c r="D488" s="26"/>
    </row>
    <row r="489" customFormat="false" ht="15.75" hidden="false" customHeight="false" outlineLevel="0" collapsed="false">
      <c r="D489" s="26"/>
    </row>
    <row r="490" customFormat="false" ht="15.75" hidden="false" customHeight="false" outlineLevel="0" collapsed="false">
      <c r="D490" s="26"/>
    </row>
    <row r="491" customFormat="false" ht="15.75" hidden="false" customHeight="false" outlineLevel="0" collapsed="false">
      <c r="D491" s="26"/>
    </row>
    <row r="492" customFormat="false" ht="15.75" hidden="false" customHeight="false" outlineLevel="0" collapsed="false">
      <c r="D492" s="26"/>
    </row>
    <row r="493" customFormat="false" ht="15.75" hidden="false" customHeight="false" outlineLevel="0" collapsed="false">
      <c r="D493" s="26"/>
    </row>
    <row r="494" customFormat="false" ht="15.75" hidden="false" customHeight="false" outlineLevel="0" collapsed="false">
      <c r="D494" s="26"/>
    </row>
    <row r="495" customFormat="false" ht="15.75" hidden="false" customHeight="false" outlineLevel="0" collapsed="false">
      <c r="D495" s="26"/>
    </row>
    <row r="496" customFormat="false" ht="15.75" hidden="false" customHeight="false" outlineLevel="0" collapsed="false">
      <c r="D496" s="26"/>
    </row>
    <row r="497" customFormat="false" ht="15.75" hidden="false" customHeight="false" outlineLevel="0" collapsed="false">
      <c r="D497" s="26"/>
    </row>
    <row r="498" customFormat="false" ht="15.75" hidden="false" customHeight="false" outlineLevel="0" collapsed="false">
      <c r="D498" s="26"/>
    </row>
    <row r="499" customFormat="false" ht="15.75" hidden="false" customHeight="false" outlineLevel="0" collapsed="false">
      <c r="D499" s="26"/>
    </row>
    <row r="500" customFormat="false" ht="15.75" hidden="false" customHeight="false" outlineLevel="0" collapsed="false">
      <c r="D500" s="26"/>
    </row>
    <row r="501" customFormat="false" ht="15.75" hidden="false" customHeight="false" outlineLevel="0" collapsed="false">
      <c r="D501" s="26"/>
    </row>
    <row r="502" customFormat="false" ht="15.75" hidden="false" customHeight="false" outlineLevel="0" collapsed="false">
      <c r="D502" s="26"/>
    </row>
    <row r="503" customFormat="false" ht="15.75" hidden="false" customHeight="false" outlineLevel="0" collapsed="false">
      <c r="D503" s="26"/>
    </row>
    <row r="504" customFormat="false" ht="15.75" hidden="false" customHeight="false" outlineLevel="0" collapsed="false">
      <c r="D504" s="26"/>
    </row>
    <row r="505" customFormat="false" ht="15.75" hidden="false" customHeight="false" outlineLevel="0" collapsed="false">
      <c r="D505" s="26"/>
    </row>
    <row r="506" customFormat="false" ht="15.75" hidden="false" customHeight="false" outlineLevel="0" collapsed="false">
      <c r="D506" s="26"/>
    </row>
    <row r="507" customFormat="false" ht="15.75" hidden="false" customHeight="false" outlineLevel="0" collapsed="false">
      <c r="D507" s="26"/>
    </row>
    <row r="508" customFormat="false" ht="15.75" hidden="false" customHeight="false" outlineLevel="0" collapsed="false">
      <c r="D508" s="26"/>
    </row>
    <row r="509" customFormat="false" ht="15.75" hidden="false" customHeight="false" outlineLevel="0" collapsed="false">
      <c r="D509" s="26"/>
    </row>
    <row r="510" customFormat="false" ht="15.75" hidden="false" customHeight="false" outlineLevel="0" collapsed="false">
      <c r="D510" s="26"/>
    </row>
    <row r="511" customFormat="false" ht="15.75" hidden="false" customHeight="false" outlineLevel="0" collapsed="false">
      <c r="D511" s="26"/>
    </row>
    <row r="512" customFormat="false" ht="15.75" hidden="false" customHeight="false" outlineLevel="0" collapsed="false">
      <c r="D512" s="26"/>
    </row>
    <row r="513" customFormat="false" ht="15.75" hidden="false" customHeight="false" outlineLevel="0" collapsed="false">
      <c r="D513" s="26"/>
    </row>
    <row r="514" customFormat="false" ht="15.75" hidden="false" customHeight="false" outlineLevel="0" collapsed="false">
      <c r="D514" s="26"/>
    </row>
    <row r="515" customFormat="false" ht="15.75" hidden="false" customHeight="false" outlineLevel="0" collapsed="false">
      <c r="D515" s="26"/>
    </row>
    <row r="516" customFormat="false" ht="15.75" hidden="false" customHeight="false" outlineLevel="0" collapsed="false">
      <c r="D516" s="26"/>
    </row>
    <row r="517" customFormat="false" ht="15.75" hidden="false" customHeight="false" outlineLevel="0" collapsed="false">
      <c r="D517" s="26"/>
    </row>
    <row r="518" customFormat="false" ht="15.75" hidden="false" customHeight="false" outlineLevel="0" collapsed="false">
      <c r="D518" s="26"/>
    </row>
    <row r="519" customFormat="false" ht="15.75" hidden="false" customHeight="false" outlineLevel="0" collapsed="false">
      <c r="D519" s="26"/>
    </row>
    <row r="520" customFormat="false" ht="15.75" hidden="false" customHeight="false" outlineLevel="0" collapsed="false">
      <c r="D520" s="26"/>
    </row>
    <row r="521" customFormat="false" ht="15.75" hidden="false" customHeight="false" outlineLevel="0" collapsed="false">
      <c r="D521" s="26"/>
    </row>
    <row r="522" customFormat="false" ht="15.75" hidden="false" customHeight="false" outlineLevel="0" collapsed="false">
      <c r="D522" s="26"/>
    </row>
    <row r="523" customFormat="false" ht="15.75" hidden="false" customHeight="false" outlineLevel="0" collapsed="false">
      <c r="D523" s="26"/>
    </row>
    <row r="524" customFormat="false" ht="15.75" hidden="false" customHeight="false" outlineLevel="0" collapsed="false">
      <c r="D524" s="26"/>
    </row>
    <row r="525" customFormat="false" ht="15.75" hidden="false" customHeight="false" outlineLevel="0" collapsed="false">
      <c r="D525" s="26"/>
    </row>
    <row r="526" customFormat="false" ht="15.75" hidden="false" customHeight="false" outlineLevel="0" collapsed="false">
      <c r="D526" s="26"/>
    </row>
    <row r="527" customFormat="false" ht="15.75" hidden="false" customHeight="false" outlineLevel="0" collapsed="false">
      <c r="D527" s="26"/>
    </row>
    <row r="528" customFormat="false" ht="15.75" hidden="false" customHeight="false" outlineLevel="0" collapsed="false">
      <c r="D528" s="26"/>
    </row>
    <row r="529" customFormat="false" ht="15.75" hidden="false" customHeight="false" outlineLevel="0" collapsed="false">
      <c r="D529" s="26"/>
    </row>
    <row r="530" customFormat="false" ht="15.75" hidden="false" customHeight="false" outlineLevel="0" collapsed="false">
      <c r="D530" s="26"/>
    </row>
    <row r="531" customFormat="false" ht="15.75" hidden="false" customHeight="false" outlineLevel="0" collapsed="false">
      <c r="D531" s="26"/>
    </row>
    <row r="532" customFormat="false" ht="15.75" hidden="false" customHeight="false" outlineLevel="0" collapsed="false">
      <c r="D532" s="26"/>
    </row>
    <row r="533" customFormat="false" ht="15.75" hidden="false" customHeight="false" outlineLevel="0" collapsed="false">
      <c r="D533" s="26"/>
    </row>
    <row r="534" customFormat="false" ht="15.75" hidden="false" customHeight="false" outlineLevel="0" collapsed="false">
      <c r="D534" s="26"/>
    </row>
    <row r="535" customFormat="false" ht="15.75" hidden="false" customHeight="false" outlineLevel="0" collapsed="false">
      <c r="D535" s="26"/>
    </row>
    <row r="536" customFormat="false" ht="15.75" hidden="false" customHeight="false" outlineLevel="0" collapsed="false">
      <c r="D536" s="26"/>
    </row>
    <row r="537" customFormat="false" ht="15.75" hidden="false" customHeight="false" outlineLevel="0" collapsed="false">
      <c r="D537" s="26"/>
    </row>
    <row r="538" customFormat="false" ht="15.75" hidden="false" customHeight="false" outlineLevel="0" collapsed="false">
      <c r="D538" s="26"/>
    </row>
    <row r="539" customFormat="false" ht="15.75" hidden="false" customHeight="false" outlineLevel="0" collapsed="false">
      <c r="D539" s="26"/>
    </row>
    <row r="540" customFormat="false" ht="15.75" hidden="false" customHeight="false" outlineLevel="0" collapsed="false">
      <c r="D540" s="26"/>
    </row>
    <row r="541" customFormat="false" ht="15.75" hidden="false" customHeight="false" outlineLevel="0" collapsed="false">
      <c r="D541" s="26"/>
    </row>
    <row r="542" customFormat="false" ht="15.75" hidden="false" customHeight="false" outlineLevel="0" collapsed="false">
      <c r="D542" s="26"/>
    </row>
    <row r="543" customFormat="false" ht="15.75" hidden="false" customHeight="false" outlineLevel="0" collapsed="false">
      <c r="D543" s="26"/>
    </row>
    <row r="544" customFormat="false" ht="15.75" hidden="false" customHeight="false" outlineLevel="0" collapsed="false">
      <c r="D544" s="26"/>
    </row>
    <row r="545" customFormat="false" ht="15.75" hidden="false" customHeight="false" outlineLevel="0" collapsed="false">
      <c r="D545" s="26"/>
    </row>
    <row r="546" customFormat="false" ht="15.75" hidden="false" customHeight="false" outlineLevel="0" collapsed="false">
      <c r="D546" s="26"/>
    </row>
    <row r="547" customFormat="false" ht="15.75" hidden="false" customHeight="false" outlineLevel="0" collapsed="false">
      <c r="D547" s="26"/>
    </row>
    <row r="548" customFormat="false" ht="15.75" hidden="false" customHeight="false" outlineLevel="0" collapsed="false">
      <c r="D548" s="26"/>
    </row>
    <row r="549" customFormat="false" ht="15.75" hidden="false" customHeight="false" outlineLevel="0" collapsed="false">
      <c r="D549" s="26"/>
    </row>
    <row r="550" customFormat="false" ht="15.75" hidden="false" customHeight="false" outlineLevel="0" collapsed="false">
      <c r="D550" s="26"/>
    </row>
    <row r="551" customFormat="false" ht="15.75" hidden="false" customHeight="false" outlineLevel="0" collapsed="false">
      <c r="D551" s="26"/>
    </row>
    <row r="552" customFormat="false" ht="15.75" hidden="false" customHeight="false" outlineLevel="0" collapsed="false">
      <c r="D552" s="26"/>
    </row>
    <row r="553" customFormat="false" ht="15.75" hidden="false" customHeight="false" outlineLevel="0" collapsed="false">
      <c r="D553" s="26"/>
    </row>
    <row r="554" customFormat="false" ht="15.75" hidden="false" customHeight="false" outlineLevel="0" collapsed="false">
      <c r="D554" s="26"/>
    </row>
    <row r="555" customFormat="false" ht="15.75" hidden="false" customHeight="false" outlineLevel="0" collapsed="false">
      <c r="D555" s="26"/>
    </row>
    <row r="556" customFormat="false" ht="15.75" hidden="false" customHeight="false" outlineLevel="0" collapsed="false">
      <c r="D556" s="26"/>
    </row>
    <row r="557" customFormat="false" ht="15.75" hidden="false" customHeight="false" outlineLevel="0" collapsed="false">
      <c r="D557" s="26"/>
    </row>
    <row r="558" customFormat="false" ht="15.75" hidden="false" customHeight="false" outlineLevel="0" collapsed="false">
      <c r="D558" s="26"/>
    </row>
    <row r="559" customFormat="false" ht="15.75" hidden="false" customHeight="false" outlineLevel="0" collapsed="false">
      <c r="D559" s="26"/>
    </row>
    <row r="560" customFormat="false" ht="15.75" hidden="false" customHeight="false" outlineLevel="0" collapsed="false">
      <c r="D560" s="26"/>
    </row>
    <row r="561" customFormat="false" ht="15.75" hidden="false" customHeight="false" outlineLevel="0" collapsed="false">
      <c r="D561" s="26"/>
    </row>
    <row r="562" customFormat="false" ht="15.75" hidden="false" customHeight="false" outlineLevel="0" collapsed="false">
      <c r="D562" s="26"/>
    </row>
    <row r="563" customFormat="false" ht="15.75" hidden="false" customHeight="false" outlineLevel="0" collapsed="false">
      <c r="D563" s="26"/>
    </row>
    <row r="564" customFormat="false" ht="15.75" hidden="false" customHeight="false" outlineLevel="0" collapsed="false">
      <c r="D564" s="26"/>
    </row>
    <row r="565" customFormat="false" ht="15.75" hidden="false" customHeight="false" outlineLevel="0" collapsed="false">
      <c r="D565" s="26"/>
    </row>
    <row r="566" customFormat="false" ht="15.75" hidden="false" customHeight="false" outlineLevel="0" collapsed="false">
      <c r="D566" s="26"/>
    </row>
    <row r="567" customFormat="false" ht="15.75" hidden="false" customHeight="false" outlineLevel="0" collapsed="false">
      <c r="D567" s="26"/>
    </row>
    <row r="568" customFormat="false" ht="15.75" hidden="false" customHeight="false" outlineLevel="0" collapsed="false">
      <c r="D568" s="26"/>
    </row>
    <row r="569" customFormat="false" ht="15.75" hidden="false" customHeight="false" outlineLevel="0" collapsed="false">
      <c r="D569" s="26"/>
    </row>
    <row r="570" customFormat="false" ht="15.75" hidden="false" customHeight="false" outlineLevel="0" collapsed="false">
      <c r="D570" s="26"/>
    </row>
    <row r="571" customFormat="false" ht="15.75" hidden="false" customHeight="false" outlineLevel="0" collapsed="false">
      <c r="D571" s="26"/>
    </row>
    <row r="572" customFormat="false" ht="15.75" hidden="false" customHeight="false" outlineLevel="0" collapsed="false">
      <c r="D572" s="26"/>
    </row>
    <row r="573" customFormat="false" ht="15.75" hidden="false" customHeight="false" outlineLevel="0" collapsed="false">
      <c r="D573" s="26"/>
    </row>
    <row r="574" customFormat="false" ht="15.75" hidden="false" customHeight="false" outlineLevel="0" collapsed="false">
      <c r="D574" s="26"/>
    </row>
    <row r="575" customFormat="false" ht="15.75" hidden="false" customHeight="false" outlineLevel="0" collapsed="false">
      <c r="D575" s="26"/>
    </row>
    <row r="576" customFormat="false" ht="15.75" hidden="false" customHeight="false" outlineLevel="0" collapsed="false">
      <c r="D576" s="26"/>
    </row>
    <row r="577" customFormat="false" ht="15.75" hidden="false" customHeight="false" outlineLevel="0" collapsed="false">
      <c r="D577" s="26"/>
    </row>
    <row r="578" customFormat="false" ht="15.75" hidden="false" customHeight="false" outlineLevel="0" collapsed="false">
      <c r="D578" s="26"/>
    </row>
    <row r="579" customFormat="false" ht="15.75" hidden="false" customHeight="false" outlineLevel="0" collapsed="false">
      <c r="D579" s="26"/>
    </row>
    <row r="580" customFormat="false" ht="15.75" hidden="false" customHeight="false" outlineLevel="0" collapsed="false">
      <c r="D580" s="26"/>
    </row>
    <row r="581" customFormat="false" ht="15.75" hidden="false" customHeight="false" outlineLevel="0" collapsed="false">
      <c r="D581" s="26"/>
    </row>
    <row r="582" customFormat="false" ht="15.75" hidden="false" customHeight="false" outlineLevel="0" collapsed="false">
      <c r="D582" s="26"/>
    </row>
    <row r="583" customFormat="false" ht="15.75" hidden="false" customHeight="false" outlineLevel="0" collapsed="false">
      <c r="D583" s="26"/>
    </row>
    <row r="584" customFormat="false" ht="15.75" hidden="false" customHeight="false" outlineLevel="0" collapsed="false">
      <c r="D584" s="26"/>
    </row>
    <row r="585" customFormat="false" ht="15.75" hidden="false" customHeight="false" outlineLevel="0" collapsed="false">
      <c r="D585" s="26"/>
    </row>
    <row r="586" customFormat="false" ht="15.75" hidden="false" customHeight="false" outlineLevel="0" collapsed="false">
      <c r="D586" s="26"/>
    </row>
    <row r="587" customFormat="false" ht="15.75" hidden="false" customHeight="false" outlineLevel="0" collapsed="false">
      <c r="D587" s="26"/>
    </row>
    <row r="588" customFormat="false" ht="15.75" hidden="false" customHeight="false" outlineLevel="0" collapsed="false">
      <c r="D588" s="26"/>
    </row>
    <row r="589" customFormat="false" ht="15.75" hidden="false" customHeight="false" outlineLevel="0" collapsed="false">
      <c r="D589" s="26"/>
    </row>
    <row r="590" customFormat="false" ht="15.75" hidden="false" customHeight="false" outlineLevel="0" collapsed="false">
      <c r="D590" s="26"/>
    </row>
    <row r="591" customFormat="false" ht="15.75" hidden="false" customHeight="false" outlineLevel="0" collapsed="false">
      <c r="D591" s="26"/>
    </row>
    <row r="592" customFormat="false" ht="15.75" hidden="false" customHeight="false" outlineLevel="0" collapsed="false">
      <c r="D592" s="26"/>
    </row>
    <row r="593" customFormat="false" ht="15.75" hidden="false" customHeight="false" outlineLevel="0" collapsed="false">
      <c r="D593" s="26"/>
    </row>
    <row r="594" customFormat="false" ht="15.75" hidden="false" customHeight="false" outlineLevel="0" collapsed="false">
      <c r="D594" s="26"/>
    </row>
    <row r="595" customFormat="false" ht="15.75" hidden="false" customHeight="false" outlineLevel="0" collapsed="false">
      <c r="D595" s="26"/>
    </row>
    <row r="596" customFormat="false" ht="15.75" hidden="false" customHeight="false" outlineLevel="0" collapsed="false">
      <c r="D596" s="26"/>
    </row>
    <row r="597" customFormat="false" ht="15.75" hidden="false" customHeight="false" outlineLevel="0" collapsed="false">
      <c r="D597" s="26"/>
    </row>
    <row r="598" customFormat="false" ht="15.75" hidden="false" customHeight="false" outlineLevel="0" collapsed="false">
      <c r="D598" s="26"/>
    </row>
    <row r="599" customFormat="false" ht="15.75" hidden="false" customHeight="false" outlineLevel="0" collapsed="false">
      <c r="D599" s="26"/>
    </row>
    <row r="600" customFormat="false" ht="15.75" hidden="false" customHeight="false" outlineLevel="0" collapsed="false">
      <c r="D600" s="26"/>
    </row>
    <row r="601" customFormat="false" ht="15.75" hidden="false" customHeight="false" outlineLevel="0" collapsed="false">
      <c r="D601" s="26"/>
    </row>
    <row r="602" customFormat="false" ht="15.75" hidden="false" customHeight="false" outlineLevel="0" collapsed="false">
      <c r="D602" s="26"/>
    </row>
    <row r="603" customFormat="false" ht="15.75" hidden="false" customHeight="false" outlineLevel="0" collapsed="false">
      <c r="D603" s="26"/>
    </row>
    <row r="604" customFormat="false" ht="15.75" hidden="false" customHeight="false" outlineLevel="0" collapsed="false">
      <c r="D604" s="26"/>
    </row>
    <row r="605" customFormat="false" ht="15.75" hidden="false" customHeight="false" outlineLevel="0" collapsed="false">
      <c r="D605" s="26"/>
    </row>
    <row r="606" customFormat="false" ht="15.75" hidden="false" customHeight="false" outlineLevel="0" collapsed="false">
      <c r="D606" s="26"/>
    </row>
    <row r="607" customFormat="false" ht="15.75" hidden="false" customHeight="false" outlineLevel="0" collapsed="false">
      <c r="D607" s="26"/>
    </row>
    <row r="608" customFormat="false" ht="15.75" hidden="false" customHeight="false" outlineLevel="0" collapsed="false">
      <c r="D608" s="26"/>
    </row>
    <row r="609" customFormat="false" ht="15.75" hidden="false" customHeight="false" outlineLevel="0" collapsed="false">
      <c r="D609" s="26"/>
    </row>
    <row r="610" customFormat="false" ht="15.75" hidden="false" customHeight="false" outlineLevel="0" collapsed="false">
      <c r="D610" s="26"/>
    </row>
    <row r="611" customFormat="false" ht="15.75" hidden="false" customHeight="false" outlineLevel="0" collapsed="false">
      <c r="D611" s="26"/>
    </row>
    <row r="612" customFormat="false" ht="15.75" hidden="false" customHeight="false" outlineLevel="0" collapsed="false">
      <c r="D612" s="26"/>
    </row>
    <row r="613" customFormat="false" ht="15.75" hidden="false" customHeight="false" outlineLevel="0" collapsed="false">
      <c r="D613" s="26"/>
    </row>
    <row r="614" customFormat="false" ht="15.75" hidden="false" customHeight="false" outlineLevel="0" collapsed="false">
      <c r="D614" s="26"/>
    </row>
    <row r="615" customFormat="false" ht="15.75" hidden="false" customHeight="false" outlineLevel="0" collapsed="false">
      <c r="D615" s="26"/>
    </row>
    <row r="616" customFormat="false" ht="15.75" hidden="false" customHeight="false" outlineLevel="0" collapsed="false">
      <c r="D616" s="26"/>
    </row>
    <row r="617" customFormat="false" ht="15.75" hidden="false" customHeight="false" outlineLevel="0" collapsed="false">
      <c r="D617" s="26"/>
    </row>
    <row r="618" customFormat="false" ht="15.75" hidden="false" customHeight="false" outlineLevel="0" collapsed="false">
      <c r="D618" s="26"/>
    </row>
    <row r="619" customFormat="false" ht="15.75" hidden="false" customHeight="false" outlineLevel="0" collapsed="false">
      <c r="D619" s="26"/>
    </row>
    <row r="620" customFormat="false" ht="15.75" hidden="false" customHeight="false" outlineLevel="0" collapsed="false">
      <c r="D620" s="26"/>
    </row>
    <row r="621" customFormat="false" ht="15.75" hidden="false" customHeight="false" outlineLevel="0" collapsed="false">
      <c r="D621" s="26"/>
    </row>
    <row r="622" customFormat="false" ht="15.75" hidden="false" customHeight="false" outlineLevel="0" collapsed="false">
      <c r="D622" s="26"/>
    </row>
    <row r="623" customFormat="false" ht="15.75" hidden="false" customHeight="false" outlineLevel="0" collapsed="false">
      <c r="D623" s="26"/>
    </row>
    <row r="624" customFormat="false" ht="15.75" hidden="false" customHeight="false" outlineLevel="0" collapsed="false">
      <c r="D624" s="26"/>
    </row>
    <row r="625" customFormat="false" ht="15.75" hidden="false" customHeight="false" outlineLevel="0" collapsed="false">
      <c r="D625" s="26"/>
    </row>
    <row r="626" customFormat="false" ht="15.75" hidden="false" customHeight="false" outlineLevel="0" collapsed="false">
      <c r="D626" s="26"/>
    </row>
    <row r="627" customFormat="false" ht="15.75" hidden="false" customHeight="false" outlineLevel="0" collapsed="false">
      <c r="D627" s="26"/>
    </row>
    <row r="628" customFormat="false" ht="15.75" hidden="false" customHeight="false" outlineLevel="0" collapsed="false">
      <c r="D628" s="26"/>
    </row>
    <row r="629" customFormat="false" ht="15.75" hidden="false" customHeight="false" outlineLevel="0" collapsed="false">
      <c r="D629" s="26"/>
    </row>
    <row r="630" customFormat="false" ht="15.75" hidden="false" customHeight="false" outlineLevel="0" collapsed="false">
      <c r="D630" s="26"/>
    </row>
    <row r="631" customFormat="false" ht="15.75" hidden="false" customHeight="false" outlineLevel="0" collapsed="false">
      <c r="D631" s="26"/>
    </row>
    <row r="632" customFormat="false" ht="15.75" hidden="false" customHeight="false" outlineLevel="0" collapsed="false">
      <c r="D632" s="26"/>
    </row>
    <row r="633" customFormat="false" ht="15.75" hidden="false" customHeight="false" outlineLevel="0" collapsed="false">
      <c r="D633" s="26"/>
    </row>
    <row r="634" customFormat="false" ht="15.75" hidden="false" customHeight="false" outlineLevel="0" collapsed="false">
      <c r="D634" s="26"/>
    </row>
    <row r="635" customFormat="false" ht="15.75" hidden="false" customHeight="false" outlineLevel="0" collapsed="false">
      <c r="D635" s="26"/>
    </row>
    <row r="636" customFormat="false" ht="15.75" hidden="false" customHeight="false" outlineLevel="0" collapsed="false">
      <c r="D636" s="26"/>
    </row>
    <row r="637" customFormat="false" ht="15.75" hidden="false" customHeight="false" outlineLevel="0" collapsed="false">
      <c r="D637" s="26"/>
    </row>
    <row r="638" customFormat="false" ht="15.75" hidden="false" customHeight="false" outlineLevel="0" collapsed="false">
      <c r="D638" s="26"/>
    </row>
    <row r="639" customFormat="false" ht="15.75" hidden="false" customHeight="false" outlineLevel="0" collapsed="false">
      <c r="D639" s="26"/>
    </row>
    <row r="640" customFormat="false" ht="15.75" hidden="false" customHeight="false" outlineLevel="0" collapsed="false">
      <c r="D640" s="26"/>
    </row>
    <row r="641" customFormat="false" ht="15.75" hidden="false" customHeight="false" outlineLevel="0" collapsed="false">
      <c r="D641" s="26"/>
    </row>
    <row r="642" customFormat="false" ht="15.75" hidden="false" customHeight="false" outlineLevel="0" collapsed="false">
      <c r="D642" s="26"/>
    </row>
    <row r="643" customFormat="false" ht="15.75" hidden="false" customHeight="false" outlineLevel="0" collapsed="false">
      <c r="D643" s="26"/>
    </row>
    <row r="644" customFormat="false" ht="15.75" hidden="false" customHeight="false" outlineLevel="0" collapsed="false">
      <c r="D644" s="26"/>
    </row>
    <row r="645" customFormat="false" ht="15.75" hidden="false" customHeight="false" outlineLevel="0" collapsed="false">
      <c r="D645" s="26"/>
    </row>
    <row r="646" customFormat="false" ht="15.75" hidden="false" customHeight="false" outlineLevel="0" collapsed="false">
      <c r="D646" s="26"/>
    </row>
    <row r="647" customFormat="false" ht="15.75" hidden="false" customHeight="false" outlineLevel="0" collapsed="false">
      <c r="D647" s="26"/>
    </row>
    <row r="648" customFormat="false" ht="15.75" hidden="false" customHeight="false" outlineLevel="0" collapsed="false">
      <c r="D648" s="26"/>
    </row>
    <row r="649" customFormat="false" ht="15.75" hidden="false" customHeight="false" outlineLevel="0" collapsed="false">
      <c r="D649" s="26"/>
    </row>
    <row r="650" customFormat="false" ht="15.75" hidden="false" customHeight="false" outlineLevel="0" collapsed="false">
      <c r="D650" s="26"/>
    </row>
    <row r="651" customFormat="false" ht="15.75" hidden="false" customHeight="false" outlineLevel="0" collapsed="false">
      <c r="D651" s="26"/>
    </row>
    <row r="652" customFormat="false" ht="15.75" hidden="false" customHeight="false" outlineLevel="0" collapsed="false">
      <c r="D652" s="26"/>
    </row>
    <row r="653" customFormat="false" ht="15.75" hidden="false" customHeight="false" outlineLevel="0" collapsed="false">
      <c r="D653" s="26"/>
    </row>
    <row r="654" customFormat="false" ht="15.75" hidden="false" customHeight="false" outlineLevel="0" collapsed="false">
      <c r="D654" s="26"/>
    </row>
    <row r="655" customFormat="false" ht="15.75" hidden="false" customHeight="false" outlineLevel="0" collapsed="false">
      <c r="D655" s="26"/>
    </row>
    <row r="656" customFormat="false" ht="15.75" hidden="false" customHeight="false" outlineLevel="0" collapsed="false">
      <c r="D656" s="26"/>
    </row>
    <row r="657" customFormat="false" ht="15.75" hidden="false" customHeight="false" outlineLevel="0" collapsed="false">
      <c r="D657" s="26"/>
    </row>
    <row r="658" customFormat="false" ht="15.75" hidden="false" customHeight="false" outlineLevel="0" collapsed="false">
      <c r="D658" s="26"/>
    </row>
    <row r="659" customFormat="false" ht="15.75" hidden="false" customHeight="false" outlineLevel="0" collapsed="false">
      <c r="D659" s="26"/>
    </row>
    <row r="660" customFormat="false" ht="15.75" hidden="false" customHeight="false" outlineLevel="0" collapsed="false">
      <c r="D660" s="26"/>
    </row>
    <row r="661" customFormat="false" ht="15.75" hidden="false" customHeight="false" outlineLevel="0" collapsed="false">
      <c r="D661" s="26"/>
    </row>
    <row r="662" customFormat="false" ht="15.75" hidden="false" customHeight="false" outlineLevel="0" collapsed="false">
      <c r="D662" s="26"/>
    </row>
    <row r="663" customFormat="false" ht="15.75" hidden="false" customHeight="false" outlineLevel="0" collapsed="false">
      <c r="D663" s="26"/>
    </row>
    <row r="664" customFormat="false" ht="15.75" hidden="false" customHeight="false" outlineLevel="0" collapsed="false">
      <c r="D664" s="26"/>
    </row>
    <row r="665" customFormat="false" ht="15.75" hidden="false" customHeight="false" outlineLevel="0" collapsed="false">
      <c r="D665" s="26"/>
    </row>
    <row r="666" customFormat="false" ht="15.75" hidden="false" customHeight="false" outlineLevel="0" collapsed="false">
      <c r="D666" s="26"/>
    </row>
    <row r="667" customFormat="false" ht="15.75" hidden="false" customHeight="false" outlineLevel="0" collapsed="false">
      <c r="D667" s="26"/>
    </row>
    <row r="668" customFormat="false" ht="15.75" hidden="false" customHeight="false" outlineLevel="0" collapsed="false">
      <c r="D668" s="26"/>
    </row>
    <row r="669" customFormat="false" ht="15.75" hidden="false" customHeight="false" outlineLevel="0" collapsed="false">
      <c r="D669" s="26"/>
    </row>
    <row r="670" customFormat="false" ht="15.75" hidden="false" customHeight="false" outlineLevel="0" collapsed="false">
      <c r="D670" s="26"/>
    </row>
    <row r="671" customFormat="false" ht="15.75" hidden="false" customHeight="false" outlineLevel="0" collapsed="false">
      <c r="D671" s="26"/>
    </row>
    <row r="672" customFormat="false" ht="15.75" hidden="false" customHeight="false" outlineLevel="0" collapsed="false">
      <c r="D672" s="26"/>
    </row>
    <row r="673" customFormat="false" ht="15.75" hidden="false" customHeight="false" outlineLevel="0" collapsed="false">
      <c r="D673" s="26"/>
    </row>
    <row r="674" customFormat="false" ht="15.75" hidden="false" customHeight="false" outlineLevel="0" collapsed="false">
      <c r="D674" s="26"/>
    </row>
    <row r="675" customFormat="false" ht="15.75" hidden="false" customHeight="false" outlineLevel="0" collapsed="false">
      <c r="D675" s="26"/>
    </row>
    <row r="676" customFormat="false" ht="15.75" hidden="false" customHeight="false" outlineLevel="0" collapsed="false">
      <c r="D676" s="26"/>
    </row>
    <row r="677" customFormat="false" ht="15.75" hidden="false" customHeight="false" outlineLevel="0" collapsed="false">
      <c r="D677" s="26"/>
    </row>
    <row r="678" customFormat="false" ht="15.75" hidden="false" customHeight="false" outlineLevel="0" collapsed="false">
      <c r="D678" s="26"/>
    </row>
    <row r="679" customFormat="false" ht="15.75" hidden="false" customHeight="false" outlineLevel="0" collapsed="false">
      <c r="D679" s="26"/>
    </row>
    <row r="680" customFormat="false" ht="15.75" hidden="false" customHeight="false" outlineLevel="0" collapsed="false">
      <c r="D680" s="26"/>
    </row>
    <row r="681" customFormat="false" ht="15.75" hidden="false" customHeight="false" outlineLevel="0" collapsed="false">
      <c r="D681" s="26"/>
    </row>
    <row r="682" customFormat="false" ht="15.75" hidden="false" customHeight="false" outlineLevel="0" collapsed="false">
      <c r="D682" s="26"/>
    </row>
    <row r="683" customFormat="false" ht="15.75" hidden="false" customHeight="false" outlineLevel="0" collapsed="false">
      <c r="D683" s="26"/>
    </row>
    <row r="684" customFormat="false" ht="15.75" hidden="false" customHeight="false" outlineLevel="0" collapsed="false">
      <c r="D684" s="26"/>
    </row>
    <row r="685" customFormat="false" ht="15.75" hidden="false" customHeight="false" outlineLevel="0" collapsed="false">
      <c r="D685" s="26"/>
    </row>
    <row r="686" customFormat="false" ht="15.75" hidden="false" customHeight="false" outlineLevel="0" collapsed="false">
      <c r="D686" s="26"/>
    </row>
    <row r="687" customFormat="false" ht="15.75" hidden="false" customHeight="false" outlineLevel="0" collapsed="false">
      <c r="D687" s="26"/>
    </row>
    <row r="688" customFormat="false" ht="15.75" hidden="false" customHeight="false" outlineLevel="0" collapsed="false">
      <c r="D688" s="26"/>
    </row>
    <row r="689" customFormat="false" ht="15.75" hidden="false" customHeight="false" outlineLevel="0" collapsed="false">
      <c r="D689" s="26"/>
    </row>
    <row r="690" customFormat="false" ht="15.75" hidden="false" customHeight="false" outlineLevel="0" collapsed="false">
      <c r="D690" s="26"/>
    </row>
    <row r="691" customFormat="false" ht="15.75" hidden="false" customHeight="false" outlineLevel="0" collapsed="false">
      <c r="D691" s="26"/>
    </row>
    <row r="692" customFormat="false" ht="15.75" hidden="false" customHeight="false" outlineLevel="0" collapsed="false">
      <c r="D692" s="26"/>
    </row>
    <row r="693" customFormat="false" ht="15.75" hidden="false" customHeight="false" outlineLevel="0" collapsed="false">
      <c r="D693" s="26"/>
    </row>
    <row r="694" customFormat="false" ht="15.75" hidden="false" customHeight="false" outlineLevel="0" collapsed="false">
      <c r="D694" s="26"/>
    </row>
    <row r="695" customFormat="false" ht="15.75" hidden="false" customHeight="false" outlineLevel="0" collapsed="false">
      <c r="D695" s="26"/>
    </row>
    <row r="696" customFormat="false" ht="15.75" hidden="false" customHeight="false" outlineLevel="0" collapsed="false">
      <c r="D696" s="26"/>
    </row>
    <row r="697" customFormat="false" ht="15.75" hidden="false" customHeight="false" outlineLevel="0" collapsed="false">
      <c r="D697" s="26"/>
    </row>
    <row r="698" customFormat="false" ht="15.75" hidden="false" customHeight="false" outlineLevel="0" collapsed="false">
      <c r="D698" s="26"/>
    </row>
    <row r="699" customFormat="false" ht="15.75" hidden="false" customHeight="false" outlineLevel="0" collapsed="false">
      <c r="D699" s="26"/>
    </row>
    <row r="700" customFormat="false" ht="15.75" hidden="false" customHeight="false" outlineLevel="0" collapsed="false">
      <c r="D700" s="26"/>
    </row>
    <row r="701" customFormat="false" ht="15.75" hidden="false" customHeight="false" outlineLevel="0" collapsed="false">
      <c r="D701" s="26"/>
    </row>
    <row r="702" customFormat="false" ht="15.75" hidden="false" customHeight="false" outlineLevel="0" collapsed="false">
      <c r="D702" s="26"/>
    </row>
    <row r="703" customFormat="false" ht="15.75" hidden="false" customHeight="false" outlineLevel="0" collapsed="false">
      <c r="D703" s="26"/>
    </row>
    <row r="704" customFormat="false" ht="15.75" hidden="false" customHeight="false" outlineLevel="0" collapsed="false">
      <c r="D704" s="26"/>
    </row>
    <row r="705" customFormat="false" ht="15.75" hidden="false" customHeight="false" outlineLevel="0" collapsed="false">
      <c r="D705" s="26"/>
    </row>
    <row r="706" customFormat="false" ht="15.75" hidden="false" customHeight="false" outlineLevel="0" collapsed="false">
      <c r="D706" s="26"/>
    </row>
    <row r="707" customFormat="false" ht="15.75" hidden="false" customHeight="false" outlineLevel="0" collapsed="false">
      <c r="D707" s="26"/>
    </row>
    <row r="708" customFormat="false" ht="15.75" hidden="false" customHeight="false" outlineLevel="0" collapsed="false">
      <c r="D708" s="26"/>
    </row>
    <row r="709" customFormat="false" ht="15.75" hidden="false" customHeight="false" outlineLevel="0" collapsed="false">
      <c r="D709" s="26"/>
    </row>
    <row r="710" customFormat="false" ht="15.75" hidden="false" customHeight="false" outlineLevel="0" collapsed="false">
      <c r="D710" s="26"/>
    </row>
    <row r="711" customFormat="false" ht="15.75" hidden="false" customHeight="false" outlineLevel="0" collapsed="false">
      <c r="D711" s="26"/>
    </row>
    <row r="712" customFormat="false" ht="15.75" hidden="false" customHeight="false" outlineLevel="0" collapsed="false">
      <c r="D712" s="26"/>
    </row>
    <row r="713" customFormat="false" ht="15.75" hidden="false" customHeight="false" outlineLevel="0" collapsed="false">
      <c r="D713" s="26"/>
    </row>
    <row r="714" customFormat="false" ht="15.75" hidden="false" customHeight="false" outlineLevel="0" collapsed="false">
      <c r="D714" s="26"/>
    </row>
    <row r="715" customFormat="false" ht="15.75" hidden="false" customHeight="false" outlineLevel="0" collapsed="false">
      <c r="D715" s="26"/>
    </row>
    <row r="716" customFormat="false" ht="15.75" hidden="false" customHeight="false" outlineLevel="0" collapsed="false">
      <c r="D716" s="26"/>
    </row>
    <row r="717" customFormat="false" ht="15.75" hidden="false" customHeight="false" outlineLevel="0" collapsed="false">
      <c r="D717" s="26"/>
    </row>
    <row r="718" customFormat="false" ht="15.75" hidden="false" customHeight="false" outlineLevel="0" collapsed="false">
      <c r="D718" s="26"/>
    </row>
    <row r="719" customFormat="false" ht="15.75" hidden="false" customHeight="false" outlineLevel="0" collapsed="false">
      <c r="D719" s="26"/>
    </row>
    <row r="720" customFormat="false" ht="15.75" hidden="false" customHeight="false" outlineLevel="0" collapsed="false">
      <c r="D720" s="26"/>
    </row>
    <row r="721" customFormat="false" ht="15.75" hidden="false" customHeight="false" outlineLevel="0" collapsed="false">
      <c r="D721" s="26"/>
    </row>
    <row r="722" customFormat="false" ht="15.75" hidden="false" customHeight="false" outlineLevel="0" collapsed="false">
      <c r="D722" s="26"/>
    </row>
    <row r="723" customFormat="false" ht="15.75" hidden="false" customHeight="false" outlineLevel="0" collapsed="false">
      <c r="D723" s="26"/>
    </row>
    <row r="724" customFormat="false" ht="15.75" hidden="false" customHeight="false" outlineLevel="0" collapsed="false">
      <c r="D724" s="26"/>
    </row>
    <row r="725" customFormat="false" ht="15.75" hidden="false" customHeight="false" outlineLevel="0" collapsed="false">
      <c r="D725" s="26"/>
    </row>
    <row r="726" customFormat="false" ht="15.75" hidden="false" customHeight="false" outlineLevel="0" collapsed="false">
      <c r="D726" s="26"/>
    </row>
    <row r="727" customFormat="false" ht="15.75" hidden="false" customHeight="false" outlineLevel="0" collapsed="false">
      <c r="D727" s="26"/>
    </row>
    <row r="728" customFormat="false" ht="15.75" hidden="false" customHeight="false" outlineLevel="0" collapsed="false">
      <c r="D728" s="26"/>
    </row>
    <row r="729" customFormat="false" ht="15.75" hidden="false" customHeight="false" outlineLevel="0" collapsed="false">
      <c r="D729" s="26"/>
    </row>
    <row r="730" customFormat="false" ht="15.75" hidden="false" customHeight="false" outlineLevel="0" collapsed="false">
      <c r="D730" s="26"/>
    </row>
    <row r="731" customFormat="false" ht="15.75" hidden="false" customHeight="false" outlineLevel="0" collapsed="false">
      <c r="D731" s="26"/>
    </row>
    <row r="732" customFormat="false" ht="15.75" hidden="false" customHeight="false" outlineLevel="0" collapsed="false">
      <c r="D732" s="26"/>
    </row>
    <row r="733" customFormat="false" ht="15.75" hidden="false" customHeight="false" outlineLevel="0" collapsed="false">
      <c r="D733" s="26"/>
    </row>
    <row r="734" customFormat="false" ht="15.75" hidden="false" customHeight="false" outlineLevel="0" collapsed="false">
      <c r="D734" s="26"/>
    </row>
    <row r="735" customFormat="false" ht="15.75" hidden="false" customHeight="false" outlineLevel="0" collapsed="false">
      <c r="D735" s="26"/>
    </row>
    <row r="736" customFormat="false" ht="15.75" hidden="false" customHeight="false" outlineLevel="0" collapsed="false">
      <c r="D736" s="26"/>
    </row>
    <row r="737" customFormat="false" ht="15.75" hidden="false" customHeight="false" outlineLevel="0" collapsed="false">
      <c r="D737" s="26"/>
    </row>
    <row r="738" customFormat="false" ht="15.75" hidden="false" customHeight="false" outlineLevel="0" collapsed="false">
      <c r="D738" s="26"/>
    </row>
    <row r="739" customFormat="false" ht="15.75" hidden="false" customHeight="false" outlineLevel="0" collapsed="false">
      <c r="D739" s="26"/>
    </row>
    <row r="740" customFormat="false" ht="15.75" hidden="false" customHeight="false" outlineLevel="0" collapsed="false">
      <c r="D740" s="26"/>
    </row>
    <row r="741" customFormat="false" ht="15.75" hidden="false" customHeight="false" outlineLevel="0" collapsed="false">
      <c r="D741" s="26"/>
    </row>
    <row r="742" customFormat="false" ht="15.75" hidden="false" customHeight="false" outlineLevel="0" collapsed="false">
      <c r="D742" s="26"/>
    </row>
    <row r="743" customFormat="false" ht="15.75" hidden="false" customHeight="false" outlineLevel="0" collapsed="false">
      <c r="D743" s="26"/>
    </row>
    <row r="744" customFormat="false" ht="15.75" hidden="false" customHeight="false" outlineLevel="0" collapsed="false">
      <c r="D744" s="26"/>
    </row>
    <row r="745" customFormat="false" ht="15.75" hidden="false" customHeight="false" outlineLevel="0" collapsed="false">
      <c r="D745" s="26"/>
    </row>
    <row r="746" customFormat="false" ht="15.75" hidden="false" customHeight="false" outlineLevel="0" collapsed="false">
      <c r="D746" s="26"/>
    </row>
    <row r="747" customFormat="false" ht="15.75" hidden="false" customHeight="false" outlineLevel="0" collapsed="false">
      <c r="D747" s="26"/>
    </row>
    <row r="748" customFormat="false" ht="15.75" hidden="false" customHeight="false" outlineLevel="0" collapsed="false">
      <c r="D748" s="26"/>
    </row>
    <row r="749" customFormat="false" ht="15.75" hidden="false" customHeight="false" outlineLevel="0" collapsed="false">
      <c r="D749" s="26"/>
    </row>
    <row r="750" customFormat="false" ht="15.75" hidden="false" customHeight="false" outlineLevel="0" collapsed="false">
      <c r="D750" s="26"/>
    </row>
    <row r="751" customFormat="false" ht="15.75" hidden="false" customHeight="false" outlineLevel="0" collapsed="false">
      <c r="D751" s="26"/>
    </row>
    <row r="752" customFormat="false" ht="15.75" hidden="false" customHeight="false" outlineLevel="0" collapsed="false">
      <c r="D752" s="26"/>
    </row>
    <row r="753" customFormat="false" ht="15.75" hidden="false" customHeight="false" outlineLevel="0" collapsed="false">
      <c r="D753" s="26"/>
    </row>
    <row r="754" customFormat="false" ht="15.75" hidden="false" customHeight="false" outlineLevel="0" collapsed="false">
      <c r="D754" s="26"/>
    </row>
    <row r="755" customFormat="false" ht="15.75" hidden="false" customHeight="false" outlineLevel="0" collapsed="false">
      <c r="D755" s="26"/>
    </row>
    <row r="756" customFormat="false" ht="15.75" hidden="false" customHeight="false" outlineLevel="0" collapsed="false">
      <c r="D756" s="26"/>
    </row>
    <row r="757" customFormat="false" ht="15.75" hidden="false" customHeight="false" outlineLevel="0" collapsed="false">
      <c r="D757" s="26"/>
    </row>
    <row r="758" customFormat="false" ht="15.75" hidden="false" customHeight="false" outlineLevel="0" collapsed="false">
      <c r="D758" s="26"/>
    </row>
    <row r="759" customFormat="false" ht="15.75" hidden="false" customHeight="false" outlineLevel="0" collapsed="false">
      <c r="D759" s="26"/>
    </row>
    <row r="760" customFormat="false" ht="15.75" hidden="false" customHeight="false" outlineLevel="0" collapsed="false">
      <c r="D760" s="26"/>
    </row>
    <row r="761" customFormat="false" ht="15.75" hidden="false" customHeight="false" outlineLevel="0" collapsed="false">
      <c r="D761" s="26"/>
    </row>
    <row r="762" customFormat="false" ht="15.75" hidden="false" customHeight="false" outlineLevel="0" collapsed="false">
      <c r="D762" s="26"/>
    </row>
    <row r="763" customFormat="false" ht="15.75" hidden="false" customHeight="false" outlineLevel="0" collapsed="false">
      <c r="D763" s="26"/>
    </row>
    <row r="764" customFormat="false" ht="15.75" hidden="false" customHeight="false" outlineLevel="0" collapsed="false">
      <c r="D764" s="26"/>
    </row>
    <row r="765" customFormat="false" ht="15.75" hidden="false" customHeight="false" outlineLevel="0" collapsed="false">
      <c r="D765" s="26"/>
    </row>
    <row r="766" customFormat="false" ht="15.75" hidden="false" customHeight="false" outlineLevel="0" collapsed="false">
      <c r="D766" s="26"/>
    </row>
    <row r="767" customFormat="false" ht="15.75" hidden="false" customHeight="false" outlineLevel="0" collapsed="false">
      <c r="D767" s="26"/>
    </row>
    <row r="768" customFormat="false" ht="15.75" hidden="false" customHeight="false" outlineLevel="0" collapsed="false">
      <c r="D768" s="26"/>
    </row>
    <row r="769" customFormat="false" ht="15.75" hidden="false" customHeight="false" outlineLevel="0" collapsed="false">
      <c r="D769" s="26"/>
    </row>
    <row r="770" customFormat="false" ht="15.75" hidden="false" customHeight="false" outlineLevel="0" collapsed="false">
      <c r="D770" s="26"/>
    </row>
    <row r="771" customFormat="false" ht="15.75" hidden="false" customHeight="false" outlineLevel="0" collapsed="false">
      <c r="D771" s="26"/>
    </row>
    <row r="772" customFormat="false" ht="15.75" hidden="false" customHeight="false" outlineLevel="0" collapsed="false">
      <c r="D772" s="26"/>
    </row>
    <row r="773" customFormat="false" ht="15.75" hidden="false" customHeight="false" outlineLevel="0" collapsed="false">
      <c r="D773" s="26"/>
    </row>
    <row r="774" customFormat="false" ht="15.75" hidden="false" customHeight="false" outlineLevel="0" collapsed="false">
      <c r="D774" s="26"/>
    </row>
    <row r="775" customFormat="false" ht="15.75" hidden="false" customHeight="false" outlineLevel="0" collapsed="false">
      <c r="D775" s="26"/>
    </row>
    <row r="776" customFormat="false" ht="15.75" hidden="false" customHeight="false" outlineLevel="0" collapsed="false">
      <c r="D776" s="26"/>
    </row>
    <row r="777" customFormat="false" ht="15.75" hidden="false" customHeight="false" outlineLevel="0" collapsed="false">
      <c r="D777" s="26"/>
    </row>
    <row r="778" customFormat="false" ht="15.75" hidden="false" customHeight="false" outlineLevel="0" collapsed="false">
      <c r="D778" s="26"/>
    </row>
    <row r="779" customFormat="false" ht="15.75" hidden="false" customHeight="false" outlineLevel="0" collapsed="false">
      <c r="D779" s="26"/>
    </row>
    <row r="780" customFormat="false" ht="15.75" hidden="false" customHeight="false" outlineLevel="0" collapsed="false">
      <c r="D780" s="26"/>
    </row>
    <row r="781" customFormat="false" ht="15.75" hidden="false" customHeight="false" outlineLevel="0" collapsed="false">
      <c r="D781" s="26"/>
    </row>
    <row r="782" customFormat="false" ht="15.75" hidden="false" customHeight="false" outlineLevel="0" collapsed="false">
      <c r="D782" s="26"/>
    </row>
    <row r="783" customFormat="false" ht="15.75" hidden="false" customHeight="false" outlineLevel="0" collapsed="false">
      <c r="D783" s="26"/>
    </row>
    <row r="784" customFormat="false" ht="15.75" hidden="false" customHeight="false" outlineLevel="0" collapsed="false">
      <c r="D784" s="26"/>
    </row>
    <row r="785" customFormat="false" ht="15.75" hidden="false" customHeight="false" outlineLevel="0" collapsed="false">
      <c r="D785" s="26"/>
    </row>
    <row r="786" customFormat="false" ht="15.75" hidden="false" customHeight="false" outlineLevel="0" collapsed="false">
      <c r="D786" s="26"/>
    </row>
    <row r="787" customFormat="false" ht="15.75" hidden="false" customHeight="false" outlineLevel="0" collapsed="false">
      <c r="D787" s="26"/>
    </row>
    <row r="788" customFormat="false" ht="15.75" hidden="false" customHeight="false" outlineLevel="0" collapsed="false">
      <c r="D788" s="26"/>
    </row>
    <row r="789" customFormat="false" ht="15.75" hidden="false" customHeight="false" outlineLevel="0" collapsed="false">
      <c r="D789" s="26"/>
    </row>
    <row r="790" customFormat="false" ht="15.75" hidden="false" customHeight="false" outlineLevel="0" collapsed="false">
      <c r="D790" s="26"/>
    </row>
    <row r="791" customFormat="false" ht="15.75" hidden="false" customHeight="false" outlineLevel="0" collapsed="false">
      <c r="D791" s="26"/>
    </row>
    <row r="792" customFormat="false" ht="15.75" hidden="false" customHeight="false" outlineLevel="0" collapsed="false">
      <c r="D792" s="26"/>
    </row>
    <row r="793" customFormat="false" ht="15.75" hidden="false" customHeight="false" outlineLevel="0" collapsed="false">
      <c r="D793" s="26"/>
    </row>
    <row r="794" customFormat="false" ht="15.75" hidden="false" customHeight="false" outlineLevel="0" collapsed="false">
      <c r="D794" s="26"/>
    </row>
    <row r="795" customFormat="false" ht="15.75" hidden="false" customHeight="false" outlineLevel="0" collapsed="false">
      <c r="D795" s="26"/>
    </row>
    <row r="796" customFormat="false" ht="15.75" hidden="false" customHeight="false" outlineLevel="0" collapsed="false">
      <c r="D796" s="26"/>
    </row>
    <row r="797" customFormat="false" ht="15.75" hidden="false" customHeight="false" outlineLevel="0" collapsed="false">
      <c r="D797" s="26"/>
    </row>
    <row r="798" customFormat="false" ht="15.75" hidden="false" customHeight="false" outlineLevel="0" collapsed="false">
      <c r="D798" s="26"/>
    </row>
    <row r="799" customFormat="false" ht="15.75" hidden="false" customHeight="false" outlineLevel="0" collapsed="false">
      <c r="D799" s="26"/>
    </row>
    <row r="800" customFormat="false" ht="15.75" hidden="false" customHeight="false" outlineLevel="0" collapsed="false">
      <c r="D800" s="26"/>
    </row>
    <row r="801" customFormat="false" ht="15.75" hidden="false" customHeight="false" outlineLevel="0" collapsed="false">
      <c r="D801" s="26"/>
    </row>
    <row r="802" customFormat="false" ht="15.75" hidden="false" customHeight="false" outlineLevel="0" collapsed="false">
      <c r="D802" s="26"/>
    </row>
    <row r="803" customFormat="false" ht="15.75" hidden="false" customHeight="false" outlineLevel="0" collapsed="false">
      <c r="D803" s="26"/>
    </row>
    <row r="804" customFormat="false" ht="15.75" hidden="false" customHeight="false" outlineLevel="0" collapsed="false">
      <c r="D804" s="26"/>
    </row>
    <row r="805" customFormat="false" ht="15.75" hidden="false" customHeight="false" outlineLevel="0" collapsed="false">
      <c r="D805" s="26"/>
    </row>
    <row r="806" customFormat="false" ht="15.75" hidden="false" customHeight="false" outlineLevel="0" collapsed="false">
      <c r="D806" s="26"/>
    </row>
    <row r="807" customFormat="false" ht="15.75" hidden="false" customHeight="false" outlineLevel="0" collapsed="false">
      <c r="D807" s="26"/>
    </row>
    <row r="808" customFormat="false" ht="15.75" hidden="false" customHeight="false" outlineLevel="0" collapsed="false">
      <c r="D808" s="26"/>
    </row>
    <row r="809" customFormat="false" ht="15.75" hidden="false" customHeight="false" outlineLevel="0" collapsed="false">
      <c r="D809" s="26"/>
    </row>
    <row r="810" customFormat="false" ht="15.75" hidden="false" customHeight="false" outlineLevel="0" collapsed="false">
      <c r="D810" s="26"/>
    </row>
    <row r="811" customFormat="false" ht="15.75" hidden="false" customHeight="false" outlineLevel="0" collapsed="false">
      <c r="D811" s="26"/>
    </row>
    <row r="812" customFormat="false" ht="15.75" hidden="false" customHeight="false" outlineLevel="0" collapsed="false">
      <c r="D812" s="26"/>
    </row>
    <row r="813" customFormat="false" ht="15.75" hidden="false" customHeight="false" outlineLevel="0" collapsed="false">
      <c r="D813" s="26"/>
    </row>
    <row r="814" customFormat="false" ht="15.75" hidden="false" customHeight="false" outlineLevel="0" collapsed="false">
      <c r="D814" s="26"/>
    </row>
    <row r="815" customFormat="false" ht="15.75" hidden="false" customHeight="false" outlineLevel="0" collapsed="false">
      <c r="D815" s="26"/>
    </row>
    <row r="816" customFormat="false" ht="15.75" hidden="false" customHeight="false" outlineLevel="0" collapsed="false">
      <c r="D816" s="26"/>
    </row>
    <row r="817" customFormat="false" ht="15.75" hidden="false" customHeight="false" outlineLevel="0" collapsed="false">
      <c r="D817" s="26"/>
    </row>
    <row r="818" customFormat="false" ht="15.75" hidden="false" customHeight="false" outlineLevel="0" collapsed="false">
      <c r="D818" s="26"/>
    </row>
    <row r="819" customFormat="false" ht="15.75" hidden="false" customHeight="false" outlineLevel="0" collapsed="false">
      <c r="D819" s="26"/>
    </row>
    <row r="820" customFormat="false" ht="15.75" hidden="false" customHeight="false" outlineLevel="0" collapsed="false">
      <c r="D820" s="26"/>
    </row>
    <row r="821" customFormat="false" ht="15.75" hidden="false" customHeight="false" outlineLevel="0" collapsed="false">
      <c r="D821" s="26"/>
    </row>
    <row r="822" customFormat="false" ht="15.75" hidden="false" customHeight="false" outlineLevel="0" collapsed="false">
      <c r="D822" s="26"/>
    </row>
    <row r="823" customFormat="false" ht="15.75" hidden="false" customHeight="false" outlineLevel="0" collapsed="false">
      <c r="D823" s="26"/>
    </row>
    <row r="824" customFormat="false" ht="15.75" hidden="false" customHeight="false" outlineLevel="0" collapsed="false">
      <c r="D824" s="26"/>
    </row>
    <row r="825" customFormat="false" ht="15.75" hidden="false" customHeight="false" outlineLevel="0" collapsed="false">
      <c r="D825" s="26"/>
    </row>
    <row r="826" customFormat="false" ht="15.75" hidden="false" customHeight="false" outlineLevel="0" collapsed="false">
      <c r="D826" s="26"/>
    </row>
    <row r="827" customFormat="false" ht="15.75" hidden="false" customHeight="false" outlineLevel="0" collapsed="false">
      <c r="D827" s="26"/>
    </row>
    <row r="828" customFormat="false" ht="15.75" hidden="false" customHeight="false" outlineLevel="0" collapsed="false">
      <c r="D828" s="26"/>
    </row>
    <row r="829" customFormat="false" ht="15.75" hidden="false" customHeight="false" outlineLevel="0" collapsed="false">
      <c r="D829" s="26"/>
    </row>
    <row r="830" customFormat="false" ht="15.75" hidden="false" customHeight="false" outlineLevel="0" collapsed="false">
      <c r="D830" s="26"/>
    </row>
    <row r="831" customFormat="false" ht="15.75" hidden="false" customHeight="false" outlineLevel="0" collapsed="false">
      <c r="D831" s="26"/>
    </row>
    <row r="832" customFormat="false" ht="15.75" hidden="false" customHeight="false" outlineLevel="0" collapsed="false">
      <c r="D832" s="26"/>
    </row>
    <row r="833" customFormat="false" ht="15.75" hidden="false" customHeight="false" outlineLevel="0" collapsed="false">
      <c r="D833" s="26"/>
    </row>
    <row r="834" customFormat="false" ht="15.75" hidden="false" customHeight="false" outlineLevel="0" collapsed="false">
      <c r="D834" s="26"/>
    </row>
    <row r="835" customFormat="false" ht="15.75" hidden="false" customHeight="false" outlineLevel="0" collapsed="false">
      <c r="D835" s="26"/>
    </row>
    <row r="836" customFormat="false" ht="15.75" hidden="false" customHeight="false" outlineLevel="0" collapsed="false">
      <c r="D836" s="26"/>
    </row>
    <row r="837" customFormat="false" ht="15.75" hidden="false" customHeight="false" outlineLevel="0" collapsed="false">
      <c r="D837" s="26"/>
    </row>
    <row r="838" customFormat="false" ht="15.75" hidden="false" customHeight="false" outlineLevel="0" collapsed="false">
      <c r="D838" s="26"/>
    </row>
    <row r="839" customFormat="false" ht="15.75" hidden="false" customHeight="false" outlineLevel="0" collapsed="false">
      <c r="D839" s="26"/>
    </row>
    <row r="840" customFormat="false" ht="15.75" hidden="false" customHeight="false" outlineLevel="0" collapsed="false">
      <c r="D840" s="26"/>
    </row>
    <row r="841" customFormat="false" ht="15.75" hidden="false" customHeight="false" outlineLevel="0" collapsed="false">
      <c r="D841" s="26"/>
    </row>
    <row r="842" customFormat="false" ht="15.75" hidden="false" customHeight="false" outlineLevel="0" collapsed="false">
      <c r="D842" s="26"/>
    </row>
    <row r="843" customFormat="false" ht="15.75" hidden="false" customHeight="false" outlineLevel="0" collapsed="false">
      <c r="D843" s="26"/>
    </row>
    <row r="844" customFormat="false" ht="15.75" hidden="false" customHeight="false" outlineLevel="0" collapsed="false">
      <c r="D844" s="26"/>
    </row>
    <row r="845" customFormat="false" ht="15.75" hidden="false" customHeight="false" outlineLevel="0" collapsed="false">
      <c r="D845" s="26"/>
    </row>
    <row r="846" customFormat="false" ht="15.75" hidden="false" customHeight="false" outlineLevel="0" collapsed="false">
      <c r="D846" s="26"/>
    </row>
    <row r="847" customFormat="false" ht="15.75" hidden="false" customHeight="false" outlineLevel="0" collapsed="false">
      <c r="D847" s="26"/>
    </row>
    <row r="848" customFormat="false" ht="15.75" hidden="false" customHeight="false" outlineLevel="0" collapsed="false">
      <c r="D848" s="26"/>
    </row>
    <row r="849" customFormat="false" ht="15.75" hidden="false" customHeight="false" outlineLevel="0" collapsed="false">
      <c r="D849" s="26"/>
    </row>
    <row r="850" customFormat="false" ht="15.75" hidden="false" customHeight="false" outlineLevel="0" collapsed="false">
      <c r="D850" s="26"/>
    </row>
    <row r="851" customFormat="false" ht="15.75" hidden="false" customHeight="false" outlineLevel="0" collapsed="false">
      <c r="D851" s="26"/>
    </row>
    <row r="852" customFormat="false" ht="15.75" hidden="false" customHeight="false" outlineLevel="0" collapsed="false">
      <c r="D852" s="26"/>
    </row>
    <row r="853" customFormat="false" ht="15.75" hidden="false" customHeight="false" outlineLevel="0" collapsed="false">
      <c r="D853" s="26"/>
    </row>
    <row r="854" customFormat="false" ht="15.75" hidden="false" customHeight="false" outlineLevel="0" collapsed="false">
      <c r="D854" s="26"/>
    </row>
    <row r="855" customFormat="false" ht="15.75" hidden="false" customHeight="false" outlineLevel="0" collapsed="false">
      <c r="D855" s="26"/>
    </row>
    <row r="856" customFormat="false" ht="15.75" hidden="false" customHeight="false" outlineLevel="0" collapsed="false">
      <c r="D856" s="26"/>
    </row>
    <row r="857" customFormat="false" ht="15.75" hidden="false" customHeight="false" outlineLevel="0" collapsed="false">
      <c r="D857" s="26"/>
    </row>
    <row r="858" customFormat="false" ht="15.75" hidden="false" customHeight="false" outlineLevel="0" collapsed="false">
      <c r="D858" s="26"/>
    </row>
    <row r="859" customFormat="false" ht="15.75" hidden="false" customHeight="false" outlineLevel="0" collapsed="false">
      <c r="D859" s="26"/>
    </row>
    <row r="860" customFormat="false" ht="15.75" hidden="false" customHeight="false" outlineLevel="0" collapsed="false">
      <c r="D860" s="26"/>
    </row>
    <row r="861" customFormat="false" ht="15.75" hidden="false" customHeight="false" outlineLevel="0" collapsed="false">
      <c r="D861" s="26"/>
    </row>
    <row r="862" customFormat="false" ht="15.75" hidden="false" customHeight="false" outlineLevel="0" collapsed="false">
      <c r="D862" s="26"/>
    </row>
    <row r="863" customFormat="false" ht="15.75" hidden="false" customHeight="false" outlineLevel="0" collapsed="false">
      <c r="D863" s="26"/>
    </row>
    <row r="864" customFormat="false" ht="15.75" hidden="false" customHeight="false" outlineLevel="0" collapsed="false">
      <c r="D864" s="26"/>
    </row>
    <row r="865" customFormat="false" ht="15.75" hidden="false" customHeight="false" outlineLevel="0" collapsed="false">
      <c r="D865" s="26"/>
    </row>
    <row r="866" customFormat="false" ht="15.75" hidden="false" customHeight="false" outlineLevel="0" collapsed="false">
      <c r="D866" s="26"/>
    </row>
    <row r="867" customFormat="false" ht="15.75" hidden="false" customHeight="false" outlineLevel="0" collapsed="false">
      <c r="D867" s="26"/>
    </row>
    <row r="868" customFormat="false" ht="15.75" hidden="false" customHeight="false" outlineLevel="0" collapsed="false">
      <c r="D868" s="26"/>
    </row>
    <row r="869" customFormat="false" ht="15.75" hidden="false" customHeight="false" outlineLevel="0" collapsed="false">
      <c r="D869" s="26"/>
    </row>
    <row r="870" customFormat="false" ht="15.75" hidden="false" customHeight="false" outlineLevel="0" collapsed="false">
      <c r="D870" s="26"/>
    </row>
    <row r="871" customFormat="false" ht="15.75" hidden="false" customHeight="false" outlineLevel="0" collapsed="false">
      <c r="D871" s="26"/>
    </row>
    <row r="872" customFormat="false" ht="15.75" hidden="false" customHeight="false" outlineLevel="0" collapsed="false">
      <c r="D872" s="26"/>
    </row>
    <row r="873" customFormat="false" ht="15.75" hidden="false" customHeight="false" outlineLevel="0" collapsed="false">
      <c r="D873" s="26"/>
    </row>
    <row r="874" customFormat="false" ht="15.75" hidden="false" customHeight="false" outlineLevel="0" collapsed="false">
      <c r="D874" s="26"/>
    </row>
    <row r="875" customFormat="false" ht="15.75" hidden="false" customHeight="false" outlineLevel="0" collapsed="false">
      <c r="D875" s="26"/>
    </row>
    <row r="876" customFormat="false" ht="15.75" hidden="false" customHeight="false" outlineLevel="0" collapsed="false">
      <c r="D876" s="26"/>
    </row>
    <row r="877" customFormat="false" ht="15.75" hidden="false" customHeight="false" outlineLevel="0" collapsed="false">
      <c r="D877" s="26"/>
    </row>
    <row r="878" customFormat="false" ht="15.75" hidden="false" customHeight="false" outlineLevel="0" collapsed="false">
      <c r="D878" s="26"/>
    </row>
    <row r="879" customFormat="false" ht="15.75" hidden="false" customHeight="false" outlineLevel="0" collapsed="false">
      <c r="D879" s="26"/>
    </row>
    <row r="880" customFormat="false" ht="15.75" hidden="false" customHeight="false" outlineLevel="0" collapsed="false">
      <c r="D880" s="26"/>
    </row>
    <row r="881" customFormat="false" ht="15.75" hidden="false" customHeight="false" outlineLevel="0" collapsed="false">
      <c r="D881" s="26"/>
    </row>
    <row r="882" customFormat="false" ht="15.75" hidden="false" customHeight="false" outlineLevel="0" collapsed="false">
      <c r="D882" s="26"/>
    </row>
    <row r="883" customFormat="false" ht="15.75" hidden="false" customHeight="false" outlineLevel="0" collapsed="false">
      <c r="D883" s="26"/>
    </row>
    <row r="884" customFormat="false" ht="15.75" hidden="false" customHeight="false" outlineLevel="0" collapsed="false">
      <c r="D884" s="26"/>
    </row>
    <row r="885" customFormat="false" ht="15.75" hidden="false" customHeight="false" outlineLevel="0" collapsed="false">
      <c r="D885" s="26"/>
    </row>
    <row r="886" customFormat="false" ht="15.75" hidden="false" customHeight="false" outlineLevel="0" collapsed="false">
      <c r="D886" s="26"/>
    </row>
    <row r="887" customFormat="false" ht="15.75" hidden="false" customHeight="false" outlineLevel="0" collapsed="false">
      <c r="D887" s="26"/>
    </row>
    <row r="888" customFormat="false" ht="15.75" hidden="false" customHeight="false" outlineLevel="0" collapsed="false">
      <c r="D888" s="26"/>
    </row>
    <row r="889" customFormat="false" ht="15.75" hidden="false" customHeight="false" outlineLevel="0" collapsed="false">
      <c r="D889" s="26"/>
    </row>
    <row r="890" customFormat="false" ht="15.75" hidden="false" customHeight="false" outlineLevel="0" collapsed="false">
      <c r="D890" s="26"/>
    </row>
    <row r="891" customFormat="false" ht="15.75" hidden="false" customHeight="false" outlineLevel="0" collapsed="false">
      <c r="D891" s="26"/>
    </row>
    <row r="892" customFormat="false" ht="15.75" hidden="false" customHeight="false" outlineLevel="0" collapsed="false">
      <c r="D892" s="26"/>
    </row>
    <row r="893" customFormat="false" ht="15.75" hidden="false" customHeight="false" outlineLevel="0" collapsed="false">
      <c r="D893" s="26"/>
    </row>
    <row r="894" customFormat="false" ht="15.75" hidden="false" customHeight="false" outlineLevel="0" collapsed="false">
      <c r="D894" s="26"/>
    </row>
    <row r="895" customFormat="false" ht="15.75" hidden="false" customHeight="false" outlineLevel="0" collapsed="false">
      <c r="D895" s="26"/>
    </row>
    <row r="896" customFormat="false" ht="15.75" hidden="false" customHeight="false" outlineLevel="0" collapsed="false">
      <c r="D896" s="26"/>
    </row>
    <row r="897" customFormat="false" ht="15.75" hidden="false" customHeight="false" outlineLevel="0" collapsed="false">
      <c r="D897" s="26"/>
    </row>
    <row r="898" customFormat="false" ht="15.75" hidden="false" customHeight="false" outlineLevel="0" collapsed="false">
      <c r="D898" s="26"/>
    </row>
    <row r="899" customFormat="false" ht="15.75" hidden="false" customHeight="false" outlineLevel="0" collapsed="false">
      <c r="D899" s="26"/>
    </row>
    <row r="900" customFormat="false" ht="15.75" hidden="false" customHeight="false" outlineLevel="0" collapsed="false">
      <c r="D900" s="26"/>
    </row>
    <row r="901" customFormat="false" ht="15.75" hidden="false" customHeight="false" outlineLevel="0" collapsed="false">
      <c r="D901" s="26"/>
    </row>
    <row r="902" customFormat="false" ht="15.75" hidden="false" customHeight="false" outlineLevel="0" collapsed="false">
      <c r="D902" s="26"/>
    </row>
    <row r="903" customFormat="false" ht="15.75" hidden="false" customHeight="false" outlineLevel="0" collapsed="false">
      <c r="D903" s="26"/>
    </row>
    <row r="904" customFormat="false" ht="15.75" hidden="false" customHeight="false" outlineLevel="0" collapsed="false">
      <c r="D904" s="26"/>
    </row>
    <row r="905" customFormat="false" ht="15.75" hidden="false" customHeight="false" outlineLevel="0" collapsed="false">
      <c r="D905" s="26"/>
    </row>
    <row r="906" customFormat="false" ht="15.75" hidden="false" customHeight="false" outlineLevel="0" collapsed="false">
      <c r="D906" s="26"/>
    </row>
    <row r="907" customFormat="false" ht="15.75" hidden="false" customHeight="false" outlineLevel="0" collapsed="false">
      <c r="D907" s="26"/>
    </row>
    <row r="908" customFormat="false" ht="15.75" hidden="false" customHeight="false" outlineLevel="0" collapsed="false">
      <c r="D908" s="26"/>
    </row>
    <row r="909" customFormat="false" ht="15.75" hidden="false" customHeight="false" outlineLevel="0" collapsed="false">
      <c r="D909" s="26"/>
    </row>
    <row r="910" customFormat="false" ht="15.75" hidden="false" customHeight="false" outlineLevel="0" collapsed="false">
      <c r="D910" s="26"/>
    </row>
    <row r="911" customFormat="false" ht="15.75" hidden="false" customHeight="false" outlineLevel="0" collapsed="false">
      <c r="D911" s="26"/>
    </row>
    <row r="912" customFormat="false" ht="15.75" hidden="false" customHeight="false" outlineLevel="0" collapsed="false">
      <c r="D912" s="26"/>
    </row>
    <row r="913" customFormat="false" ht="15.75" hidden="false" customHeight="false" outlineLevel="0" collapsed="false">
      <c r="D913" s="26"/>
    </row>
    <row r="914" customFormat="false" ht="15.75" hidden="false" customHeight="false" outlineLevel="0" collapsed="false">
      <c r="D914" s="26"/>
    </row>
    <row r="915" customFormat="false" ht="15.75" hidden="false" customHeight="false" outlineLevel="0" collapsed="false">
      <c r="D915" s="26"/>
    </row>
    <row r="916" customFormat="false" ht="15.75" hidden="false" customHeight="false" outlineLevel="0" collapsed="false">
      <c r="D916" s="26"/>
    </row>
    <row r="917" customFormat="false" ht="15.75" hidden="false" customHeight="false" outlineLevel="0" collapsed="false">
      <c r="D917" s="26"/>
    </row>
    <row r="918" customFormat="false" ht="15.75" hidden="false" customHeight="false" outlineLevel="0" collapsed="false">
      <c r="D918" s="26"/>
    </row>
    <row r="919" customFormat="false" ht="15.75" hidden="false" customHeight="false" outlineLevel="0" collapsed="false">
      <c r="D919" s="26"/>
    </row>
    <row r="920" customFormat="false" ht="15.75" hidden="false" customHeight="false" outlineLevel="0" collapsed="false">
      <c r="D920" s="26"/>
    </row>
    <row r="921" customFormat="false" ht="15.75" hidden="false" customHeight="false" outlineLevel="0" collapsed="false">
      <c r="D921" s="26"/>
    </row>
    <row r="922" customFormat="false" ht="15.75" hidden="false" customHeight="false" outlineLevel="0" collapsed="false">
      <c r="D922" s="26"/>
    </row>
    <row r="923" customFormat="false" ht="15.75" hidden="false" customHeight="false" outlineLevel="0" collapsed="false">
      <c r="D923" s="26"/>
    </row>
    <row r="924" customFormat="false" ht="15.75" hidden="false" customHeight="false" outlineLevel="0" collapsed="false">
      <c r="D924" s="26"/>
    </row>
    <row r="925" customFormat="false" ht="15.75" hidden="false" customHeight="false" outlineLevel="0" collapsed="false">
      <c r="D925" s="26"/>
    </row>
    <row r="926" customFormat="false" ht="15.75" hidden="false" customHeight="false" outlineLevel="0" collapsed="false">
      <c r="D926" s="26"/>
    </row>
    <row r="927" customFormat="false" ht="15.75" hidden="false" customHeight="false" outlineLevel="0" collapsed="false">
      <c r="D927" s="26"/>
    </row>
    <row r="928" customFormat="false" ht="15.75" hidden="false" customHeight="false" outlineLevel="0" collapsed="false">
      <c r="D928" s="26"/>
    </row>
    <row r="929" customFormat="false" ht="15.75" hidden="false" customHeight="false" outlineLevel="0" collapsed="false">
      <c r="D929" s="26"/>
    </row>
    <row r="930" customFormat="false" ht="15.75" hidden="false" customHeight="false" outlineLevel="0" collapsed="false">
      <c r="D930" s="26"/>
    </row>
    <row r="931" customFormat="false" ht="15.75" hidden="false" customHeight="false" outlineLevel="0" collapsed="false">
      <c r="D931" s="26"/>
    </row>
    <row r="932" customFormat="false" ht="15.75" hidden="false" customHeight="false" outlineLevel="0" collapsed="false">
      <c r="D932" s="26"/>
    </row>
    <row r="933" customFormat="false" ht="15.75" hidden="false" customHeight="false" outlineLevel="0" collapsed="false">
      <c r="D933" s="26"/>
    </row>
    <row r="934" customFormat="false" ht="15.75" hidden="false" customHeight="false" outlineLevel="0" collapsed="false">
      <c r="D934" s="26"/>
    </row>
    <row r="935" customFormat="false" ht="15.75" hidden="false" customHeight="false" outlineLevel="0" collapsed="false">
      <c r="D935" s="26"/>
    </row>
    <row r="936" customFormat="false" ht="15.75" hidden="false" customHeight="false" outlineLevel="0" collapsed="false">
      <c r="D936" s="26"/>
    </row>
    <row r="937" customFormat="false" ht="15.75" hidden="false" customHeight="false" outlineLevel="0" collapsed="false">
      <c r="D937" s="26"/>
    </row>
    <row r="938" customFormat="false" ht="15.75" hidden="false" customHeight="false" outlineLevel="0" collapsed="false">
      <c r="D938" s="26"/>
    </row>
    <row r="939" customFormat="false" ht="15.75" hidden="false" customHeight="false" outlineLevel="0" collapsed="false">
      <c r="D939" s="26"/>
    </row>
    <row r="940" customFormat="false" ht="15.75" hidden="false" customHeight="false" outlineLevel="0" collapsed="false">
      <c r="D940" s="26"/>
    </row>
    <row r="941" customFormat="false" ht="15.75" hidden="false" customHeight="false" outlineLevel="0" collapsed="false">
      <c r="D941" s="26"/>
    </row>
    <row r="942" customFormat="false" ht="15.75" hidden="false" customHeight="false" outlineLevel="0" collapsed="false">
      <c r="D942" s="26"/>
    </row>
    <row r="943" customFormat="false" ht="15.75" hidden="false" customHeight="false" outlineLevel="0" collapsed="false">
      <c r="D943" s="26"/>
    </row>
    <row r="944" customFormat="false" ht="15.75" hidden="false" customHeight="false" outlineLevel="0" collapsed="false">
      <c r="D944" s="26"/>
    </row>
    <row r="945" customFormat="false" ht="15.75" hidden="false" customHeight="false" outlineLevel="0" collapsed="false">
      <c r="D945" s="26"/>
    </row>
    <row r="946" customFormat="false" ht="15.75" hidden="false" customHeight="false" outlineLevel="0" collapsed="false">
      <c r="D946" s="26"/>
    </row>
    <row r="947" customFormat="false" ht="15.75" hidden="false" customHeight="false" outlineLevel="0" collapsed="false">
      <c r="D947" s="26"/>
    </row>
    <row r="948" customFormat="false" ht="15.75" hidden="false" customHeight="false" outlineLevel="0" collapsed="false">
      <c r="D948" s="26"/>
    </row>
    <row r="949" customFormat="false" ht="15.75" hidden="false" customHeight="false" outlineLevel="0" collapsed="false">
      <c r="D949" s="26"/>
    </row>
    <row r="950" customFormat="false" ht="15.75" hidden="false" customHeight="false" outlineLevel="0" collapsed="false">
      <c r="D950" s="26"/>
    </row>
    <row r="951" customFormat="false" ht="15.75" hidden="false" customHeight="false" outlineLevel="0" collapsed="false">
      <c r="D951" s="26"/>
    </row>
    <row r="952" customFormat="false" ht="15.75" hidden="false" customHeight="false" outlineLevel="0" collapsed="false">
      <c r="D952" s="26"/>
    </row>
    <row r="953" customFormat="false" ht="15.75" hidden="false" customHeight="false" outlineLevel="0" collapsed="false">
      <c r="D953" s="26"/>
    </row>
    <row r="954" customFormat="false" ht="15.75" hidden="false" customHeight="false" outlineLevel="0" collapsed="false">
      <c r="D954" s="26"/>
    </row>
    <row r="955" customFormat="false" ht="15.75" hidden="false" customHeight="false" outlineLevel="0" collapsed="false">
      <c r="D955" s="26"/>
    </row>
    <row r="956" customFormat="false" ht="15.75" hidden="false" customHeight="false" outlineLevel="0" collapsed="false">
      <c r="D956" s="26"/>
    </row>
    <row r="957" customFormat="false" ht="15.75" hidden="false" customHeight="false" outlineLevel="0" collapsed="false">
      <c r="D957" s="26"/>
    </row>
    <row r="958" customFormat="false" ht="15.75" hidden="false" customHeight="false" outlineLevel="0" collapsed="false">
      <c r="D958" s="26"/>
    </row>
    <row r="959" customFormat="false" ht="15.75" hidden="false" customHeight="false" outlineLevel="0" collapsed="false">
      <c r="D959" s="26"/>
    </row>
    <row r="960" customFormat="false" ht="15.75" hidden="false" customHeight="false" outlineLevel="0" collapsed="false">
      <c r="D960" s="26"/>
    </row>
    <row r="961" customFormat="false" ht="15.75" hidden="false" customHeight="false" outlineLevel="0" collapsed="false">
      <c r="D961" s="26"/>
    </row>
    <row r="962" customFormat="false" ht="15.75" hidden="false" customHeight="false" outlineLevel="0" collapsed="false">
      <c r="D962" s="26"/>
    </row>
    <row r="963" customFormat="false" ht="15.75" hidden="false" customHeight="false" outlineLevel="0" collapsed="false">
      <c r="D963" s="26"/>
    </row>
    <row r="964" customFormat="false" ht="15.75" hidden="false" customHeight="false" outlineLevel="0" collapsed="false">
      <c r="D964" s="26"/>
    </row>
    <row r="965" customFormat="false" ht="15.75" hidden="false" customHeight="false" outlineLevel="0" collapsed="false">
      <c r="D965" s="26"/>
    </row>
    <row r="966" customFormat="false" ht="15.75" hidden="false" customHeight="false" outlineLevel="0" collapsed="false">
      <c r="D966" s="26"/>
    </row>
    <row r="967" customFormat="false" ht="15.75" hidden="false" customHeight="false" outlineLevel="0" collapsed="false">
      <c r="D967" s="26"/>
    </row>
    <row r="968" customFormat="false" ht="15.75" hidden="false" customHeight="false" outlineLevel="0" collapsed="false">
      <c r="D968" s="26"/>
    </row>
    <row r="969" customFormat="false" ht="15.75" hidden="false" customHeight="false" outlineLevel="0" collapsed="false">
      <c r="D969" s="26"/>
    </row>
    <row r="970" customFormat="false" ht="15.75" hidden="false" customHeight="false" outlineLevel="0" collapsed="false">
      <c r="D970" s="26"/>
    </row>
    <row r="971" customFormat="false" ht="15.75" hidden="false" customHeight="false" outlineLevel="0" collapsed="false">
      <c r="D971" s="26"/>
    </row>
    <row r="972" customFormat="false" ht="15.75" hidden="false" customHeight="false" outlineLevel="0" collapsed="false">
      <c r="D972" s="26"/>
    </row>
    <row r="973" customFormat="false" ht="15.75" hidden="false" customHeight="false" outlineLevel="0" collapsed="false">
      <c r="D973" s="26"/>
    </row>
    <row r="974" customFormat="false" ht="15.75" hidden="false" customHeight="false" outlineLevel="0" collapsed="false">
      <c r="D974" s="26"/>
    </row>
    <row r="975" customFormat="false" ht="15.75" hidden="false" customHeight="false" outlineLevel="0" collapsed="false">
      <c r="D975" s="26"/>
    </row>
    <row r="976" customFormat="false" ht="15.75" hidden="false" customHeight="false" outlineLevel="0" collapsed="false">
      <c r="D976" s="26"/>
    </row>
    <row r="977" customFormat="false" ht="15.75" hidden="false" customHeight="false" outlineLevel="0" collapsed="false">
      <c r="D977" s="26"/>
    </row>
    <row r="978" customFormat="false" ht="15.75" hidden="false" customHeight="false" outlineLevel="0" collapsed="false">
      <c r="D978" s="26"/>
    </row>
    <row r="979" customFormat="false" ht="15.75" hidden="false" customHeight="false" outlineLevel="0" collapsed="false">
      <c r="D979" s="26"/>
    </row>
    <row r="980" customFormat="false" ht="15.75" hidden="false" customHeight="false" outlineLevel="0" collapsed="false">
      <c r="D980" s="26"/>
    </row>
    <row r="981" customFormat="false" ht="15.75" hidden="false" customHeight="false" outlineLevel="0" collapsed="false">
      <c r="D981" s="26"/>
    </row>
    <row r="982" customFormat="false" ht="15.75" hidden="false" customHeight="false" outlineLevel="0" collapsed="false">
      <c r="D982" s="26"/>
    </row>
    <row r="983" customFormat="false" ht="15.75" hidden="false" customHeight="false" outlineLevel="0" collapsed="false">
      <c r="D983" s="26"/>
    </row>
    <row r="984" customFormat="false" ht="15.75" hidden="false" customHeight="false" outlineLevel="0" collapsed="false">
      <c r="D984" s="26"/>
    </row>
    <row r="985" customFormat="false" ht="15.75" hidden="false" customHeight="false" outlineLevel="0" collapsed="false">
      <c r="D985" s="26"/>
    </row>
    <row r="986" customFormat="false" ht="15.75" hidden="false" customHeight="false" outlineLevel="0" collapsed="false">
      <c r="D986" s="26"/>
    </row>
    <row r="987" customFormat="false" ht="15.75" hidden="false" customHeight="false" outlineLevel="0" collapsed="false">
      <c r="D987" s="26"/>
    </row>
    <row r="988" customFormat="false" ht="15.75" hidden="false" customHeight="false" outlineLevel="0" collapsed="false">
      <c r="D988" s="26"/>
    </row>
    <row r="989" customFormat="false" ht="15.75" hidden="false" customHeight="false" outlineLevel="0" collapsed="false">
      <c r="D989" s="26"/>
    </row>
    <row r="990" customFormat="false" ht="15.75" hidden="false" customHeight="false" outlineLevel="0" collapsed="false">
      <c r="D990" s="26"/>
    </row>
    <row r="991" customFormat="false" ht="15.75" hidden="false" customHeight="false" outlineLevel="0" collapsed="false">
      <c r="D991" s="26"/>
    </row>
    <row r="992" customFormat="false" ht="15.75" hidden="false" customHeight="false" outlineLevel="0" collapsed="false">
      <c r="D992" s="26"/>
    </row>
    <row r="993" customFormat="false" ht="15.75" hidden="false" customHeight="false" outlineLevel="0" collapsed="false">
      <c r="D993" s="26"/>
    </row>
    <row r="994" customFormat="false" ht="15.75" hidden="false" customHeight="false" outlineLevel="0" collapsed="false">
      <c r="D994" s="26"/>
    </row>
    <row r="995" customFormat="false" ht="15.75" hidden="false" customHeight="false" outlineLevel="0" collapsed="false">
      <c r="D995" s="26"/>
    </row>
    <row r="996" customFormat="false" ht="15.75" hidden="false" customHeight="false" outlineLevel="0" collapsed="false">
      <c r="D996" s="26"/>
    </row>
    <row r="997" customFormat="false" ht="15.75" hidden="false" customHeight="false" outlineLevel="0" collapsed="false">
      <c r="D997" s="26"/>
    </row>
    <row r="998" customFormat="false" ht="15.75" hidden="false" customHeight="false" outlineLevel="0" collapsed="false">
      <c r="D998" s="26"/>
    </row>
    <row r="999" customFormat="false" ht="15.75" hidden="false" customHeight="false" outlineLevel="0" collapsed="false">
      <c r="D999" s="26"/>
    </row>
    <row r="1000" customFormat="false" ht="15.75" hidden="false" customHeight="false" outlineLevel="0" collapsed="false">
      <c r="D1000" s="26"/>
    </row>
  </sheetData>
  <mergeCells count="2">
    <mergeCell ref="A1:C1"/>
    <mergeCell ref="D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2" activeCellId="0" sqref="U22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5.9"/>
    <col collapsed="false" customWidth="true" hidden="false" outlineLevel="0" max="1024" min="3" style="0" width="12.64"/>
  </cols>
  <sheetData>
    <row r="1" customFormat="false" ht="13.8" hidden="false" customHeight="false" outlineLevel="0" collapsed="false">
      <c r="A1" s="21"/>
      <c r="B1" s="11" t="s">
        <v>98</v>
      </c>
      <c r="C1" s="11"/>
      <c r="D1" s="11"/>
      <c r="E1" s="22" t="s">
        <v>887</v>
      </c>
      <c r="F1" s="22"/>
      <c r="G1" s="22"/>
      <c r="J1" s="24" t="s">
        <v>872</v>
      </c>
      <c r="K1" s="24" t="s">
        <v>873</v>
      </c>
      <c r="L1" s="8"/>
      <c r="M1" s="8" t="s">
        <v>897</v>
      </c>
      <c r="N1" s="8" t="s">
        <v>898</v>
      </c>
      <c r="T1" s="8" t="s">
        <v>888</v>
      </c>
    </row>
    <row r="2" customFormat="false" ht="13.8" hidden="false" customHeight="false" outlineLevel="0" collapsed="false">
      <c r="A2" s="3" t="n">
        <v>1</v>
      </c>
      <c r="B2" s="3" t="s">
        <v>700</v>
      </c>
      <c r="C2" s="3" t="s">
        <v>143</v>
      </c>
      <c r="D2" s="3" t="s">
        <v>589</v>
      </c>
      <c r="E2" s="25" t="s">
        <v>891</v>
      </c>
      <c r="F2" s="3" t="s">
        <v>164</v>
      </c>
      <c r="G2" s="3" t="s">
        <v>899</v>
      </c>
      <c r="J2" s="13" t="n">
        <f aca="false">_xlfn.IFS(F2="","",M2=F2,1,M2&lt;&gt;F2,0)</f>
        <v>0</v>
      </c>
      <c r="K2" s="13" t="n">
        <f aca="false">_xlfn.IFS(G2="","",N2=G2,1,N2&lt;&gt;G2,0)</f>
        <v>0</v>
      </c>
      <c r="L2" s="3"/>
      <c r="M2" s="3" t="s">
        <v>143</v>
      </c>
      <c r="N2" s="3" t="s">
        <v>589</v>
      </c>
      <c r="P2" s="4" t="s">
        <v>107</v>
      </c>
      <c r="Q2" s="17"/>
      <c r="R2" s="8" t="s">
        <v>108</v>
      </c>
      <c r="T2" s="3" t="s">
        <v>55</v>
      </c>
    </row>
    <row r="3" customFormat="false" ht="13.8" hidden="false" customHeight="false" outlineLevel="0" collapsed="false">
      <c r="A3" s="3" t="n">
        <v>2</v>
      </c>
      <c r="B3" s="3" t="s">
        <v>798</v>
      </c>
      <c r="C3" s="3" t="s">
        <v>143</v>
      </c>
      <c r="D3" s="3" t="s">
        <v>351</v>
      </c>
      <c r="E3" s="25" t="s">
        <v>891</v>
      </c>
      <c r="F3" s="3" t="s">
        <v>164</v>
      </c>
      <c r="G3" s="3" t="s">
        <v>154</v>
      </c>
      <c r="J3" s="13"/>
      <c r="K3" s="13"/>
      <c r="L3" s="3" t="s">
        <v>257</v>
      </c>
      <c r="M3" s="3" t="s">
        <v>143</v>
      </c>
      <c r="N3" s="3" t="s">
        <v>351</v>
      </c>
      <c r="P3" s="18" t="n">
        <f aca="false">AVERAGE(J2:J662)</f>
        <v>0.458823529411765</v>
      </c>
      <c r="Q3" s="3" t="s">
        <v>111</v>
      </c>
      <c r="R3" s="18" t="n">
        <f aca="false">COUNT(J$2:J$662)/COUNTA($A$2:$A$662)</f>
        <v>0.514372163388805</v>
      </c>
      <c r="T3" s="3" t="s">
        <v>61</v>
      </c>
    </row>
    <row r="4" customFormat="false" ht="13.8" hidden="false" customHeight="false" outlineLevel="0" collapsed="false">
      <c r="A4" s="3" t="n">
        <v>3</v>
      </c>
      <c r="B4" s="3" t="s">
        <v>804</v>
      </c>
      <c r="C4" s="3" t="s">
        <v>143</v>
      </c>
      <c r="D4" s="3" t="s">
        <v>589</v>
      </c>
      <c r="E4" s="25" t="s">
        <v>896</v>
      </c>
      <c r="F4" s="3"/>
      <c r="G4" s="3"/>
      <c r="J4" s="13"/>
      <c r="K4" s="13"/>
      <c r="L4" s="3"/>
      <c r="M4" s="3" t="s">
        <v>143</v>
      </c>
      <c r="N4" s="3" t="s">
        <v>589</v>
      </c>
      <c r="P4" s="18" t="n">
        <f aca="false">AVERAGE(K2:K662)</f>
        <v>0.235483870967742</v>
      </c>
      <c r="Q4" s="3" t="s">
        <v>114</v>
      </c>
      <c r="R4" s="18" t="n">
        <f aca="false">COUNT(K$2:K$662)/COUNTA($A$2:$A$662)</f>
        <v>0.468986384266263</v>
      </c>
      <c r="T4" s="3" t="s">
        <v>894</v>
      </c>
    </row>
    <row r="5" customFormat="false" ht="13.8" hidden="false" customHeight="false" outlineLevel="0" collapsed="false">
      <c r="A5" s="3" t="n">
        <v>4</v>
      </c>
      <c r="B5" s="3" t="s">
        <v>267</v>
      </c>
      <c r="C5" s="3" t="s">
        <v>105</v>
      </c>
      <c r="D5" s="3" t="s">
        <v>61</v>
      </c>
      <c r="E5" s="25" t="s">
        <v>896</v>
      </c>
      <c r="F5" s="3"/>
      <c r="G5" s="3"/>
      <c r="J5" s="13"/>
      <c r="K5" s="13"/>
      <c r="L5" s="3"/>
      <c r="M5" s="3" t="s">
        <v>105</v>
      </c>
      <c r="N5" s="3" t="s">
        <v>61</v>
      </c>
      <c r="T5" s="3" t="s">
        <v>59</v>
      </c>
    </row>
    <row r="6" customFormat="false" ht="13.8" hidden="false" customHeight="false" outlineLevel="0" collapsed="false">
      <c r="A6" s="3" t="n">
        <v>5</v>
      </c>
      <c r="B6" s="3" t="s">
        <v>734</v>
      </c>
      <c r="C6" s="3" t="s">
        <v>105</v>
      </c>
      <c r="D6" s="3" t="s">
        <v>61</v>
      </c>
      <c r="E6" s="25" t="s">
        <v>896</v>
      </c>
      <c r="F6" s="3"/>
      <c r="G6" s="3"/>
      <c r="J6" s="13"/>
      <c r="K6" s="13"/>
      <c r="L6" s="3"/>
      <c r="M6" s="3" t="s">
        <v>105</v>
      </c>
      <c r="N6" s="3" t="s">
        <v>61</v>
      </c>
      <c r="T6" s="3" t="s">
        <v>160</v>
      </c>
    </row>
    <row r="7" customFormat="false" ht="13.8" hidden="false" customHeight="false" outlineLevel="0" collapsed="false">
      <c r="A7" s="3" t="n">
        <v>6</v>
      </c>
      <c r="B7" s="3" t="s">
        <v>197</v>
      </c>
      <c r="C7" s="3" t="s">
        <v>143</v>
      </c>
      <c r="D7" s="3" t="s">
        <v>198</v>
      </c>
      <c r="E7" s="25" t="s">
        <v>482</v>
      </c>
      <c r="F7" s="3" t="s">
        <v>143</v>
      </c>
      <c r="G7" s="3" t="s">
        <v>160</v>
      </c>
      <c r="J7" s="13"/>
      <c r="K7" s="13"/>
      <c r="L7" s="3" t="s">
        <v>257</v>
      </c>
      <c r="M7" s="3" t="s">
        <v>143</v>
      </c>
      <c r="N7" s="3" t="s">
        <v>198</v>
      </c>
      <c r="T7" s="3" t="s">
        <v>81</v>
      </c>
    </row>
    <row r="8" customFormat="false" ht="13.8" hidden="false" customHeight="false" outlineLevel="0" collapsed="false">
      <c r="A8" s="3" t="n">
        <v>7</v>
      </c>
      <c r="B8" s="3" t="s">
        <v>680</v>
      </c>
      <c r="C8" s="3" t="s">
        <v>105</v>
      </c>
      <c r="D8" s="3" t="s">
        <v>61</v>
      </c>
      <c r="E8" s="25" t="s">
        <v>896</v>
      </c>
      <c r="F8" s="3"/>
      <c r="G8" s="3"/>
      <c r="J8" s="13" t="str">
        <f aca="false">_xlfn.IFS(F8="","",M8=F8,1,M8&lt;&gt;F8,0)</f>
        <v/>
      </c>
      <c r="K8" s="13" t="str">
        <f aca="false">_xlfn.IFS(G8="","",N8=G8,1,N8&lt;&gt;G8,0)</f>
        <v/>
      </c>
      <c r="L8" s="3"/>
      <c r="M8" s="3" t="s">
        <v>105</v>
      </c>
      <c r="N8" s="3" t="s">
        <v>61</v>
      </c>
      <c r="T8" s="3" t="s">
        <v>892</v>
      </c>
    </row>
    <row r="9" customFormat="false" ht="13.8" hidden="false" customHeight="false" outlineLevel="0" collapsed="false">
      <c r="A9" s="3" t="n">
        <v>8</v>
      </c>
      <c r="B9" s="3" t="s">
        <v>812</v>
      </c>
      <c r="C9" s="3" t="s">
        <v>143</v>
      </c>
      <c r="D9" s="3" t="s">
        <v>198</v>
      </c>
      <c r="E9" s="25" t="s">
        <v>891</v>
      </c>
      <c r="F9" s="3" t="s">
        <v>164</v>
      </c>
      <c r="G9" s="3" t="s">
        <v>899</v>
      </c>
      <c r="J9" s="13"/>
      <c r="K9" s="13"/>
      <c r="L9" s="3" t="s">
        <v>257</v>
      </c>
      <c r="M9" s="3" t="s">
        <v>143</v>
      </c>
      <c r="N9" s="3" t="s">
        <v>198</v>
      </c>
      <c r="T9" s="3" t="s">
        <v>63</v>
      </c>
    </row>
    <row r="10" customFormat="false" ht="13.8" hidden="false" customHeight="false" outlineLevel="0" collapsed="false">
      <c r="A10" s="3" t="n">
        <v>9</v>
      </c>
      <c r="B10" s="3" t="s">
        <v>353</v>
      </c>
      <c r="C10" s="3" t="s">
        <v>133</v>
      </c>
      <c r="D10" s="3" t="s">
        <v>65</v>
      </c>
      <c r="E10" s="25" t="s">
        <v>891</v>
      </c>
      <c r="F10" s="3" t="s">
        <v>164</v>
      </c>
      <c r="G10" s="3" t="s">
        <v>63</v>
      </c>
      <c r="J10" s="13"/>
      <c r="K10" s="13"/>
      <c r="L10" s="3" t="s">
        <v>257</v>
      </c>
      <c r="M10" s="3" t="s">
        <v>133</v>
      </c>
      <c r="N10" s="3" t="s">
        <v>65</v>
      </c>
      <c r="T10" s="3" t="s">
        <v>884</v>
      </c>
    </row>
    <row r="11" customFormat="false" ht="13.8" hidden="false" customHeight="false" outlineLevel="0" collapsed="false">
      <c r="A11" s="3" t="n">
        <v>10</v>
      </c>
      <c r="B11" s="3" t="s">
        <v>433</v>
      </c>
      <c r="C11" s="3" t="s">
        <v>133</v>
      </c>
      <c r="D11" s="3" t="s">
        <v>65</v>
      </c>
      <c r="E11" s="25" t="s">
        <v>891</v>
      </c>
      <c r="F11" s="3" t="s">
        <v>164</v>
      </c>
      <c r="G11" s="3" t="s">
        <v>63</v>
      </c>
      <c r="J11" s="13"/>
      <c r="K11" s="13"/>
      <c r="L11" s="3" t="s">
        <v>257</v>
      </c>
      <c r="M11" s="3" t="s">
        <v>133</v>
      </c>
      <c r="N11" s="3" t="s">
        <v>65</v>
      </c>
      <c r="T11" s="3" t="s">
        <v>893</v>
      </c>
    </row>
    <row r="12" customFormat="false" ht="13.8" hidden="false" customHeight="false" outlineLevel="0" collapsed="false">
      <c r="A12" s="3" t="n">
        <v>11</v>
      </c>
      <c r="B12" s="3" t="s">
        <v>199</v>
      </c>
      <c r="C12" s="3" t="s">
        <v>105</v>
      </c>
      <c r="D12" s="3" t="s">
        <v>61</v>
      </c>
      <c r="E12" s="25" t="s">
        <v>482</v>
      </c>
      <c r="F12" s="3" t="s">
        <v>105</v>
      </c>
      <c r="G12" s="3" t="s">
        <v>894</v>
      </c>
      <c r="J12" s="13" t="n">
        <f aca="false">_xlfn.IFS(F12="","",M12=F12,1,M12&lt;&gt;F12,0)</f>
        <v>1</v>
      </c>
      <c r="K12" s="13" t="n">
        <f aca="false">_xlfn.IFS(G12="","",N12=G12,1,N12&lt;&gt;G12,0)</f>
        <v>0</v>
      </c>
      <c r="L12" s="3"/>
      <c r="M12" s="3" t="s">
        <v>105</v>
      </c>
      <c r="N12" s="3" t="s">
        <v>61</v>
      </c>
      <c r="T12" s="3" t="s">
        <v>154</v>
      </c>
    </row>
    <row r="13" customFormat="false" ht="13.8" hidden="false" customHeight="false" outlineLevel="0" collapsed="false">
      <c r="A13" s="3" t="n">
        <v>12</v>
      </c>
      <c r="B13" s="3" t="s">
        <v>268</v>
      </c>
      <c r="C13" s="3" t="s">
        <v>105</v>
      </c>
      <c r="D13" s="3" t="s">
        <v>61</v>
      </c>
      <c r="E13" s="25" t="s">
        <v>891</v>
      </c>
      <c r="F13" s="3" t="s">
        <v>164</v>
      </c>
      <c r="G13" s="3" t="s">
        <v>899</v>
      </c>
      <c r="J13" s="13" t="n">
        <f aca="false">_xlfn.IFS(F13="","",M13=F13,1,M13&lt;&gt;F13,0)</f>
        <v>0</v>
      </c>
      <c r="K13" s="13" t="n">
        <f aca="false">_xlfn.IFS(G13="","",N13=G13,1,N13&lt;&gt;G13,0)</f>
        <v>0</v>
      </c>
      <c r="L13" s="3"/>
      <c r="M13" s="3" t="s">
        <v>105</v>
      </c>
      <c r="N13" s="3" t="s">
        <v>61</v>
      </c>
      <c r="T13" s="3" t="s">
        <v>895</v>
      </c>
    </row>
    <row r="14" customFormat="false" ht="13.8" hidden="false" customHeight="false" outlineLevel="0" collapsed="false">
      <c r="A14" s="3" t="n">
        <v>13</v>
      </c>
      <c r="B14" s="3" t="s">
        <v>394</v>
      </c>
      <c r="C14" s="3" t="s">
        <v>105</v>
      </c>
      <c r="D14" s="3" t="s">
        <v>77</v>
      </c>
      <c r="E14" s="25" t="s">
        <v>482</v>
      </c>
      <c r="F14" s="3" t="s">
        <v>105</v>
      </c>
      <c r="G14" s="3" t="s">
        <v>894</v>
      </c>
      <c r="J14" s="13" t="n">
        <f aca="false">_xlfn.IFS(F14="","",M14=F14,1,M14&lt;&gt;F14,0)</f>
        <v>1</v>
      </c>
      <c r="K14" s="13" t="n">
        <f aca="false">_xlfn.IFS(G14="","",N14=G14,1,N14&lt;&gt;G14,0)</f>
        <v>1</v>
      </c>
      <c r="L14" s="3"/>
      <c r="M14" s="3" t="s">
        <v>105</v>
      </c>
      <c r="N14" s="3" t="s">
        <v>894</v>
      </c>
    </row>
    <row r="15" customFormat="false" ht="13.8" hidden="false" customHeight="false" outlineLevel="0" collapsed="false">
      <c r="A15" s="3" t="n">
        <v>14</v>
      </c>
      <c r="B15" s="3" t="s">
        <v>386</v>
      </c>
      <c r="C15" s="3" t="s">
        <v>133</v>
      </c>
      <c r="D15" s="3" t="s">
        <v>65</v>
      </c>
      <c r="E15" s="25" t="s">
        <v>891</v>
      </c>
      <c r="F15" s="3" t="s">
        <v>164</v>
      </c>
      <c r="G15" s="3" t="s">
        <v>63</v>
      </c>
      <c r="J15" s="13"/>
      <c r="K15" s="13"/>
      <c r="L15" s="3" t="s">
        <v>257</v>
      </c>
      <c r="M15" s="3" t="s">
        <v>133</v>
      </c>
      <c r="N15" s="3" t="s">
        <v>65</v>
      </c>
    </row>
    <row r="16" customFormat="false" ht="13.8" hidden="false" customHeight="false" outlineLevel="0" collapsed="false">
      <c r="A16" s="3" t="n">
        <v>15</v>
      </c>
      <c r="B16" s="3" t="s">
        <v>745</v>
      </c>
      <c r="C16" s="3" t="s">
        <v>143</v>
      </c>
      <c r="D16" s="3" t="s">
        <v>288</v>
      </c>
      <c r="E16" s="25" t="s">
        <v>482</v>
      </c>
      <c r="F16" s="3" t="s">
        <v>143</v>
      </c>
      <c r="G16" s="3" t="s">
        <v>160</v>
      </c>
      <c r="J16" s="13"/>
      <c r="K16" s="13"/>
      <c r="L16" s="3" t="s">
        <v>257</v>
      </c>
      <c r="M16" s="3" t="s">
        <v>143</v>
      </c>
      <c r="N16" s="3" t="s">
        <v>288</v>
      </c>
    </row>
    <row r="17" customFormat="false" ht="13.8" hidden="false" customHeight="false" outlineLevel="0" collapsed="false">
      <c r="A17" s="3" t="n">
        <v>16</v>
      </c>
      <c r="B17" s="3" t="s">
        <v>269</v>
      </c>
      <c r="C17" s="3" t="s">
        <v>105</v>
      </c>
      <c r="D17" s="3" t="s">
        <v>61</v>
      </c>
      <c r="E17" s="25" t="s">
        <v>482</v>
      </c>
      <c r="F17" s="3" t="s">
        <v>105</v>
      </c>
      <c r="G17" s="3" t="s">
        <v>61</v>
      </c>
      <c r="J17" s="13" t="n">
        <f aca="false">_xlfn.IFS(F17="","",M17=F17,1,M17&lt;&gt;F17,0)</f>
        <v>1</v>
      </c>
      <c r="K17" s="13" t="n">
        <f aca="false">_xlfn.IFS(G17="","",N17=G17,1,N17&lt;&gt;G17,0)</f>
        <v>1</v>
      </c>
      <c r="L17" s="3"/>
      <c r="M17" s="3" t="s">
        <v>105</v>
      </c>
      <c r="N17" s="3" t="s">
        <v>61</v>
      </c>
    </row>
    <row r="18" customFormat="false" ht="13.8" hidden="false" customHeight="false" outlineLevel="0" collapsed="false">
      <c r="A18" s="3" t="n">
        <v>17</v>
      </c>
      <c r="B18" s="3" t="s">
        <v>477</v>
      </c>
      <c r="C18" s="3" t="s">
        <v>105</v>
      </c>
      <c r="D18" s="3" t="s">
        <v>61</v>
      </c>
      <c r="E18" s="25" t="s">
        <v>896</v>
      </c>
      <c r="F18" s="3"/>
      <c r="G18" s="3"/>
      <c r="J18" s="13" t="str">
        <f aca="false">_xlfn.IFS(F18="","",M18=F18,1,M18&lt;&gt;F18,0)</f>
        <v/>
      </c>
      <c r="K18" s="13" t="str">
        <f aca="false">_xlfn.IFS(G18="","",N18=G18,1,N18&lt;&gt;G18,0)</f>
        <v/>
      </c>
      <c r="L18" s="3"/>
      <c r="M18" s="3" t="s">
        <v>105</v>
      </c>
      <c r="N18" s="3" t="s">
        <v>61</v>
      </c>
    </row>
    <row r="19" customFormat="false" ht="13.8" hidden="false" customHeight="false" outlineLevel="0" collapsed="false">
      <c r="A19" s="3" t="n">
        <v>18</v>
      </c>
      <c r="B19" s="3" t="s">
        <v>200</v>
      </c>
      <c r="C19" s="3" t="s">
        <v>143</v>
      </c>
      <c r="D19" s="3" t="s">
        <v>198</v>
      </c>
      <c r="E19" s="25" t="s">
        <v>896</v>
      </c>
      <c r="F19" s="3"/>
      <c r="G19" s="3"/>
      <c r="J19" s="13"/>
      <c r="K19" s="13"/>
      <c r="L19" s="3" t="s">
        <v>257</v>
      </c>
      <c r="M19" s="3" t="s">
        <v>143</v>
      </c>
      <c r="N19" s="3" t="s">
        <v>198</v>
      </c>
    </row>
    <row r="20" customFormat="false" ht="13.8" hidden="false" customHeight="false" outlineLevel="0" collapsed="false">
      <c r="A20" s="3" t="n">
        <v>19</v>
      </c>
      <c r="B20" s="3" t="s">
        <v>446</v>
      </c>
      <c r="C20" s="3" t="s">
        <v>143</v>
      </c>
      <c r="D20" s="3" t="s">
        <v>198</v>
      </c>
      <c r="E20" s="25" t="s">
        <v>891</v>
      </c>
      <c r="F20" s="3" t="s">
        <v>164</v>
      </c>
      <c r="G20" s="3" t="s">
        <v>63</v>
      </c>
      <c r="J20" s="13"/>
      <c r="K20" s="13"/>
      <c r="L20" s="3" t="s">
        <v>257</v>
      </c>
      <c r="M20" s="3" t="s">
        <v>143</v>
      </c>
      <c r="N20" s="3" t="s">
        <v>198</v>
      </c>
    </row>
    <row r="21" customFormat="false" ht="13.8" hidden="false" customHeight="false" outlineLevel="0" collapsed="false">
      <c r="A21" s="3" t="n">
        <v>20</v>
      </c>
      <c r="B21" s="3" t="s">
        <v>420</v>
      </c>
      <c r="C21" s="3" t="s">
        <v>105</v>
      </c>
      <c r="D21" s="3" t="s">
        <v>61</v>
      </c>
      <c r="E21" s="25" t="s">
        <v>482</v>
      </c>
      <c r="F21" s="3" t="s">
        <v>105</v>
      </c>
      <c r="G21" s="3" t="s">
        <v>61</v>
      </c>
      <c r="J21" s="13" t="n">
        <f aca="false">_xlfn.IFS(F21="","",M21=F21,1,M21&lt;&gt;F21,0)</f>
        <v>1</v>
      </c>
      <c r="K21" s="13" t="n">
        <f aca="false">_xlfn.IFS(G21="","",N21=G21,1,N21&lt;&gt;G21,0)</f>
        <v>1</v>
      </c>
      <c r="L21" s="3"/>
      <c r="M21" s="3" t="s">
        <v>105</v>
      </c>
      <c r="N21" s="3" t="s">
        <v>61</v>
      </c>
    </row>
    <row r="22" customFormat="false" ht="13.8" hidden="false" customHeight="false" outlineLevel="0" collapsed="false">
      <c r="A22" s="3" t="n">
        <v>21</v>
      </c>
      <c r="B22" s="3" t="s">
        <v>201</v>
      </c>
      <c r="C22" s="3" t="s">
        <v>105</v>
      </c>
      <c r="D22" s="3" t="s">
        <v>55</v>
      </c>
      <c r="E22" s="25" t="s">
        <v>482</v>
      </c>
      <c r="F22" s="3" t="s">
        <v>143</v>
      </c>
      <c r="G22" s="3" t="s">
        <v>160</v>
      </c>
      <c r="J22" s="13" t="n">
        <f aca="false">_xlfn.IFS(F22="","",M22=F22,1,M22&lt;&gt;F22,0)</f>
        <v>0</v>
      </c>
      <c r="K22" s="13" t="n">
        <f aca="false">_xlfn.IFS(G22="","",N22=G22,1,N22&lt;&gt;G22,0)</f>
        <v>0</v>
      </c>
      <c r="L22" s="3"/>
      <c r="M22" s="3" t="s">
        <v>105</v>
      </c>
      <c r="N22" s="3" t="s">
        <v>55</v>
      </c>
    </row>
    <row r="23" customFormat="false" ht="13.8" hidden="false" customHeight="false" outlineLevel="0" collapsed="false">
      <c r="A23" s="3" t="n">
        <v>22</v>
      </c>
      <c r="B23" s="3" t="s">
        <v>202</v>
      </c>
      <c r="C23" s="3" t="s">
        <v>143</v>
      </c>
      <c r="D23" s="3" t="s">
        <v>198</v>
      </c>
      <c r="E23" s="25" t="s">
        <v>482</v>
      </c>
      <c r="F23" s="3" t="s">
        <v>143</v>
      </c>
      <c r="G23" s="3" t="s">
        <v>160</v>
      </c>
      <c r="J23" s="13"/>
      <c r="K23" s="13"/>
      <c r="L23" s="3" t="s">
        <v>257</v>
      </c>
      <c r="M23" s="3" t="s">
        <v>143</v>
      </c>
      <c r="N23" s="3" t="s">
        <v>198</v>
      </c>
    </row>
    <row r="24" customFormat="false" ht="13.8" hidden="false" customHeight="false" outlineLevel="0" collapsed="false">
      <c r="A24" s="3" t="n">
        <v>23</v>
      </c>
      <c r="B24" s="3" t="s">
        <v>203</v>
      </c>
      <c r="C24" s="3" t="s">
        <v>105</v>
      </c>
      <c r="D24" s="3" t="s">
        <v>61</v>
      </c>
      <c r="E24" s="25" t="s">
        <v>896</v>
      </c>
      <c r="F24" s="3"/>
      <c r="G24" s="3"/>
      <c r="J24" s="13" t="str">
        <f aca="false">_xlfn.IFS(F24="","",M24=F24,1,M24&lt;&gt;F24,0)</f>
        <v/>
      </c>
      <c r="K24" s="13" t="str">
        <f aca="false">_xlfn.IFS(G24="","",N24=G24,1,N24&lt;&gt;G24,0)</f>
        <v/>
      </c>
      <c r="L24" s="3"/>
      <c r="M24" s="3" t="s">
        <v>105</v>
      </c>
      <c r="N24" s="3" t="s">
        <v>61</v>
      </c>
    </row>
    <row r="25" customFormat="false" ht="13.8" hidden="false" customHeight="false" outlineLevel="0" collapsed="false">
      <c r="A25" s="3" t="n">
        <v>24</v>
      </c>
      <c r="B25" s="3" t="s">
        <v>515</v>
      </c>
      <c r="C25" s="3" t="s">
        <v>105</v>
      </c>
      <c r="D25" s="3" t="s">
        <v>61</v>
      </c>
      <c r="E25" s="25" t="s">
        <v>896</v>
      </c>
      <c r="F25" s="3"/>
      <c r="G25" s="3"/>
      <c r="J25" s="13" t="str">
        <f aca="false">_xlfn.IFS(F25="","",M25=F25,1,M25&lt;&gt;F25,0)</f>
        <v/>
      </c>
      <c r="K25" s="13" t="str">
        <f aca="false">_xlfn.IFS(G25="","",N25=G25,1,N25&lt;&gt;G25,0)</f>
        <v/>
      </c>
      <c r="L25" s="3"/>
      <c r="M25" s="3" t="s">
        <v>105</v>
      </c>
      <c r="N25" s="3" t="s">
        <v>61</v>
      </c>
    </row>
    <row r="26" customFormat="false" ht="13.8" hidden="false" customHeight="false" outlineLevel="0" collapsed="false">
      <c r="A26" s="3" t="n">
        <v>25</v>
      </c>
      <c r="B26" s="3" t="s">
        <v>525</v>
      </c>
      <c r="C26" s="3" t="s">
        <v>150</v>
      </c>
      <c r="D26" s="3" t="s">
        <v>75</v>
      </c>
      <c r="E26" s="25" t="s">
        <v>896</v>
      </c>
      <c r="F26" s="3"/>
      <c r="G26" s="3"/>
      <c r="J26" s="13"/>
      <c r="K26" s="13"/>
      <c r="L26" s="3" t="s">
        <v>257</v>
      </c>
      <c r="M26" s="3" t="s">
        <v>164</v>
      </c>
      <c r="N26" s="3" t="s">
        <v>75</v>
      </c>
    </row>
    <row r="27" customFormat="false" ht="13.8" hidden="false" customHeight="false" outlineLevel="0" collapsed="false">
      <c r="A27" s="3" t="n">
        <v>26</v>
      </c>
      <c r="B27" s="3" t="s">
        <v>377</v>
      </c>
      <c r="C27" s="3" t="s">
        <v>143</v>
      </c>
      <c r="D27" s="3" t="s">
        <v>198</v>
      </c>
      <c r="E27" s="25" t="s">
        <v>482</v>
      </c>
      <c r="F27" s="3" t="s">
        <v>105</v>
      </c>
      <c r="G27" s="3" t="s">
        <v>61</v>
      </c>
      <c r="J27" s="13"/>
      <c r="K27" s="13"/>
      <c r="L27" s="3" t="s">
        <v>257</v>
      </c>
      <c r="M27" s="3" t="s">
        <v>143</v>
      </c>
      <c r="N27" s="3" t="s">
        <v>198</v>
      </c>
    </row>
    <row r="28" customFormat="false" ht="13.8" hidden="false" customHeight="false" outlineLevel="0" collapsed="false">
      <c r="A28" s="3" t="n">
        <v>27</v>
      </c>
      <c r="B28" s="3" t="s">
        <v>725</v>
      </c>
      <c r="C28" s="3" t="s">
        <v>133</v>
      </c>
      <c r="D28" s="3" t="s">
        <v>65</v>
      </c>
      <c r="E28" s="25" t="s">
        <v>891</v>
      </c>
      <c r="F28" s="3" t="s">
        <v>164</v>
      </c>
      <c r="G28" s="3" t="s">
        <v>63</v>
      </c>
      <c r="J28" s="13"/>
      <c r="K28" s="13"/>
      <c r="L28" s="3" t="s">
        <v>257</v>
      </c>
      <c r="M28" s="3" t="s">
        <v>133</v>
      </c>
      <c r="N28" s="3" t="s">
        <v>65</v>
      </c>
    </row>
    <row r="29" customFormat="false" ht="13.8" hidden="false" customHeight="false" outlineLevel="0" collapsed="false">
      <c r="A29" s="3" t="n">
        <v>28</v>
      </c>
      <c r="B29" s="3" t="s">
        <v>646</v>
      </c>
      <c r="C29" s="3" t="s">
        <v>150</v>
      </c>
      <c r="D29" s="3" t="s">
        <v>75</v>
      </c>
      <c r="E29" s="25" t="s">
        <v>891</v>
      </c>
      <c r="F29" s="3" t="s">
        <v>164</v>
      </c>
      <c r="G29" s="3" t="s">
        <v>884</v>
      </c>
      <c r="J29" s="13"/>
      <c r="K29" s="13"/>
      <c r="L29" s="3" t="s">
        <v>257</v>
      </c>
      <c r="M29" s="3" t="s">
        <v>164</v>
      </c>
      <c r="N29" s="3" t="s">
        <v>75</v>
      </c>
    </row>
    <row r="30" customFormat="false" ht="13.8" hidden="false" customHeight="false" outlineLevel="0" collapsed="false">
      <c r="A30" s="3" t="n">
        <v>29</v>
      </c>
      <c r="B30" s="3" t="s">
        <v>691</v>
      </c>
      <c r="C30" s="3" t="s">
        <v>143</v>
      </c>
      <c r="D30" s="3" t="s">
        <v>198</v>
      </c>
      <c r="E30" s="25" t="s">
        <v>891</v>
      </c>
      <c r="F30" s="3" t="s">
        <v>164</v>
      </c>
      <c r="G30" s="3" t="s">
        <v>63</v>
      </c>
      <c r="J30" s="13"/>
      <c r="K30" s="13"/>
      <c r="L30" s="3" t="s">
        <v>257</v>
      </c>
      <c r="M30" s="3" t="s">
        <v>143</v>
      </c>
      <c r="N30" s="3" t="s">
        <v>198</v>
      </c>
    </row>
    <row r="31" customFormat="false" ht="13.8" hidden="false" customHeight="false" outlineLevel="0" collapsed="false">
      <c r="A31" s="3" t="n">
        <v>30</v>
      </c>
      <c r="B31" s="3" t="s">
        <v>808</v>
      </c>
      <c r="C31" s="3" t="s">
        <v>143</v>
      </c>
      <c r="D31" s="3" t="s">
        <v>589</v>
      </c>
      <c r="E31" s="25" t="s">
        <v>482</v>
      </c>
      <c r="F31" s="3" t="s">
        <v>81</v>
      </c>
      <c r="G31" s="3"/>
      <c r="J31" s="13" t="n">
        <f aca="false">_xlfn.IFS(F31="","",M31=F31,1,M31&lt;&gt;F31,0)</f>
        <v>0</v>
      </c>
      <c r="K31" s="13" t="str">
        <f aca="false">_xlfn.IFS(G31="","",N31=G31,1,N31&lt;&gt;G31,0)</f>
        <v/>
      </c>
      <c r="L31" s="3"/>
      <c r="M31" s="3" t="s">
        <v>143</v>
      </c>
      <c r="N31" s="3" t="s">
        <v>589</v>
      </c>
    </row>
    <row r="32" customFormat="false" ht="13.8" hidden="false" customHeight="false" outlineLevel="0" collapsed="false">
      <c r="A32" s="3" t="n">
        <v>31</v>
      </c>
      <c r="B32" s="3" t="s">
        <v>552</v>
      </c>
      <c r="C32" s="3" t="s">
        <v>105</v>
      </c>
      <c r="D32" s="3" t="s">
        <v>61</v>
      </c>
      <c r="E32" s="25" t="s">
        <v>482</v>
      </c>
      <c r="F32" s="3" t="s">
        <v>105</v>
      </c>
      <c r="G32" s="3" t="s">
        <v>61</v>
      </c>
      <c r="J32" s="13" t="n">
        <f aca="false">_xlfn.IFS(F32="","",M32=F32,1,M32&lt;&gt;F32,0)</f>
        <v>1</v>
      </c>
      <c r="K32" s="13" t="n">
        <f aca="false">_xlfn.IFS(G32="","",N32=G32,1,N32&lt;&gt;G32,0)</f>
        <v>1</v>
      </c>
      <c r="L32" s="3"/>
      <c r="M32" s="3" t="s">
        <v>105</v>
      </c>
      <c r="N32" s="3" t="s">
        <v>61</v>
      </c>
    </row>
    <row r="33" customFormat="false" ht="13.8" hidden="false" customHeight="false" outlineLevel="0" collapsed="false">
      <c r="A33" s="3" t="n">
        <v>32</v>
      </c>
      <c r="B33" s="3" t="s">
        <v>809</v>
      </c>
      <c r="C33" s="3" t="s">
        <v>105</v>
      </c>
      <c r="D33" s="3" t="s">
        <v>61</v>
      </c>
      <c r="E33" s="25" t="s">
        <v>482</v>
      </c>
      <c r="F33" s="3" t="s">
        <v>81</v>
      </c>
      <c r="G33" s="3"/>
      <c r="J33" s="13" t="n">
        <f aca="false">_xlfn.IFS(F33="","",M33=F33,1,M33&lt;&gt;F33,0)</f>
        <v>0</v>
      </c>
      <c r="K33" s="13" t="str">
        <f aca="false">_xlfn.IFS(G33="","",N33=G33,1,N33&lt;&gt;G33,0)</f>
        <v/>
      </c>
      <c r="L33" s="3"/>
      <c r="M33" s="3" t="s">
        <v>105</v>
      </c>
      <c r="N33" s="3" t="s">
        <v>61</v>
      </c>
    </row>
    <row r="34" customFormat="false" ht="13.8" hidden="false" customHeight="false" outlineLevel="0" collapsed="false">
      <c r="A34" s="3" t="n">
        <v>33</v>
      </c>
      <c r="B34" s="3" t="s">
        <v>332</v>
      </c>
      <c r="C34" s="3" t="s">
        <v>105</v>
      </c>
      <c r="D34" s="3" t="s">
        <v>61</v>
      </c>
      <c r="E34" s="25" t="s">
        <v>896</v>
      </c>
      <c r="F34" s="3"/>
      <c r="G34" s="3"/>
      <c r="J34" s="13"/>
      <c r="K34" s="13"/>
      <c r="L34" s="3"/>
      <c r="M34" s="3" t="s">
        <v>105</v>
      </c>
      <c r="N34" s="3" t="s">
        <v>61</v>
      </c>
    </row>
    <row r="35" customFormat="false" ht="13.8" hidden="false" customHeight="false" outlineLevel="0" collapsed="false">
      <c r="A35" s="3" t="n">
        <v>34</v>
      </c>
      <c r="B35" s="3" t="s">
        <v>204</v>
      </c>
      <c r="C35" s="3" t="s">
        <v>143</v>
      </c>
      <c r="D35" s="3" t="s">
        <v>198</v>
      </c>
      <c r="E35" s="25" t="s">
        <v>482</v>
      </c>
      <c r="F35" s="3" t="s">
        <v>105</v>
      </c>
      <c r="G35" s="3" t="s">
        <v>61</v>
      </c>
      <c r="J35" s="13"/>
      <c r="K35" s="13"/>
      <c r="L35" s="3" t="s">
        <v>257</v>
      </c>
      <c r="M35" s="3" t="s">
        <v>143</v>
      </c>
      <c r="N35" s="3" t="s">
        <v>198</v>
      </c>
    </row>
    <row r="36" customFormat="false" ht="13.8" hidden="false" customHeight="false" outlineLevel="0" collapsed="false">
      <c r="A36" s="3" t="n">
        <v>35</v>
      </c>
      <c r="B36" s="3" t="s">
        <v>323</v>
      </c>
      <c r="C36" s="3" t="s">
        <v>105</v>
      </c>
      <c r="D36" s="3" t="s">
        <v>61</v>
      </c>
      <c r="E36" s="25" t="s">
        <v>482</v>
      </c>
      <c r="F36" s="3" t="s">
        <v>105</v>
      </c>
      <c r="G36" s="3" t="s">
        <v>61</v>
      </c>
      <c r="J36" s="13" t="n">
        <f aca="false">_xlfn.IFS(F36="","",M36=F36,1,M36&lt;&gt;F36,0)</f>
        <v>1</v>
      </c>
      <c r="K36" s="13" t="n">
        <f aca="false">_xlfn.IFS(G36="","",N36=G36,1,N36&lt;&gt;G36,0)</f>
        <v>1</v>
      </c>
      <c r="L36" s="3"/>
      <c r="M36" s="3" t="s">
        <v>105</v>
      </c>
      <c r="N36" s="3" t="s">
        <v>61</v>
      </c>
    </row>
    <row r="37" customFormat="false" ht="13.8" hidden="false" customHeight="false" outlineLevel="0" collapsed="false">
      <c r="A37" s="3" t="n">
        <v>36</v>
      </c>
      <c r="B37" s="3" t="s">
        <v>807</v>
      </c>
      <c r="C37" s="3" t="s">
        <v>105</v>
      </c>
      <c r="D37" s="3" t="s">
        <v>61</v>
      </c>
      <c r="E37" s="25" t="s">
        <v>896</v>
      </c>
      <c r="F37" s="3"/>
      <c r="G37" s="3"/>
      <c r="J37" s="13" t="str">
        <f aca="false">_xlfn.IFS(F37="","",M37=F37,1,M37&lt;&gt;F37,0)</f>
        <v/>
      </c>
      <c r="K37" s="13" t="str">
        <f aca="false">_xlfn.IFS(G37="","",N37=G37,1,N37&lt;&gt;G37,0)</f>
        <v/>
      </c>
      <c r="L37" s="3"/>
      <c r="M37" s="3" t="s">
        <v>105</v>
      </c>
      <c r="N37" s="3" t="s">
        <v>61</v>
      </c>
    </row>
    <row r="38" customFormat="false" ht="13.8" hidden="false" customHeight="false" outlineLevel="0" collapsed="false">
      <c r="A38" s="3" t="n">
        <v>37</v>
      </c>
      <c r="B38" s="3" t="s">
        <v>591</v>
      </c>
      <c r="C38" s="3" t="s">
        <v>105</v>
      </c>
      <c r="D38" s="3" t="s">
        <v>61</v>
      </c>
      <c r="E38" s="25" t="s">
        <v>891</v>
      </c>
      <c r="F38" s="3" t="s">
        <v>164</v>
      </c>
      <c r="G38" s="3" t="s">
        <v>154</v>
      </c>
      <c r="J38" s="13" t="n">
        <f aca="false">_xlfn.IFS(F38="","",M38=F38,1,M38&lt;&gt;F38,0)</f>
        <v>0</v>
      </c>
      <c r="K38" s="13" t="n">
        <f aca="false">_xlfn.IFS(G38="","",N38=G38,1,N38&lt;&gt;G38,0)</f>
        <v>0</v>
      </c>
      <c r="L38" s="3"/>
      <c r="M38" s="3" t="s">
        <v>105</v>
      </c>
      <c r="N38" s="3" t="s">
        <v>61</v>
      </c>
    </row>
    <row r="39" customFormat="false" ht="13.8" hidden="false" customHeight="false" outlineLevel="0" collapsed="false">
      <c r="A39" s="3" t="n">
        <v>38</v>
      </c>
      <c r="B39" s="3" t="s">
        <v>372</v>
      </c>
      <c r="C39" s="3" t="s">
        <v>105</v>
      </c>
      <c r="D39" s="3" t="s">
        <v>61</v>
      </c>
      <c r="E39" s="25" t="s">
        <v>896</v>
      </c>
      <c r="F39" s="3"/>
      <c r="G39" s="3"/>
      <c r="J39" s="13" t="str">
        <f aca="false">_xlfn.IFS(F39="","",M39=F39,1,M39&lt;&gt;F39,0)</f>
        <v/>
      </c>
      <c r="K39" s="13" t="str">
        <f aca="false">_xlfn.IFS(G39="","",N39=G39,1,N39&lt;&gt;G39,0)</f>
        <v/>
      </c>
      <c r="L39" s="3"/>
      <c r="M39" s="3" t="s">
        <v>105</v>
      </c>
      <c r="N39" s="3" t="s">
        <v>61</v>
      </c>
    </row>
    <row r="40" customFormat="false" ht="13.8" hidden="false" customHeight="false" outlineLevel="0" collapsed="false">
      <c r="A40" s="3" t="n">
        <v>39</v>
      </c>
      <c r="B40" s="3" t="s">
        <v>588</v>
      </c>
      <c r="C40" s="3" t="s">
        <v>143</v>
      </c>
      <c r="D40" s="3" t="s">
        <v>589</v>
      </c>
      <c r="E40" s="25" t="s">
        <v>896</v>
      </c>
      <c r="F40" s="3"/>
      <c r="G40" s="3"/>
      <c r="J40" s="13" t="str">
        <f aca="false">_xlfn.IFS(F40="","",M40=F40,1,M40&lt;&gt;F40,0)</f>
        <v/>
      </c>
      <c r="K40" s="13" t="str">
        <f aca="false">_xlfn.IFS(G40="","",N40=G40,1,N40&lt;&gt;G40,0)</f>
        <v/>
      </c>
      <c r="L40" s="3"/>
      <c r="M40" s="3" t="s">
        <v>143</v>
      </c>
      <c r="N40" s="3" t="s">
        <v>589</v>
      </c>
    </row>
    <row r="41" customFormat="false" ht="13.8" hidden="false" customHeight="false" outlineLevel="0" collapsed="false">
      <c r="A41" s="3" t="n">
        <v>40</v>
      </c>
      <c r="B41" s="3" t="s">
        <v>270</v>
      </c>
      <c r="C41" s="3" t="s">
        <v>105</v>
      </c>
      <c r="D41" s="3" t="s">
        <v>61</v>
      </c>
      <c r="E41" s="25" t="s">
        <v>482</v>
      </c>
      <c r="F41" s="3" t="s">
        <v>105</v>
      </c>
      <c r="G41" s="3" t="s">
        <v>61</v>
      </c>
      <c r="J41" s="13" t="n">
        <f aca="false">_xlfn.IFS(F41="","",M41=F41,1,M41&lt;&gt;F41,0)</f>
        <v>1</v>
      </c>
      <c r="K41" s="13" t="n">
        <f aca="false">_xlfn.IFS(G41="","",N41=G41,1,N41&lt;&gt;G41,0)</f>
        <v>1</v>
      </c>
      <c r="L41" s="3"/>
      <c r="M41" s="3" t="s">
        <v>105</v>
      </c>
      <c r="N41" s="3" t="s">
        <v>61</v>
      </c>
    </row>
    <row r="42" customFormat="false" ht="13.8" hidden="false" customHeight="false" outlineLevel="0" collapsed="false">
      <c r="A42" s="3" t="n">
        <v>41</v>
      </c>
      <c r="B42" s="3" t="s">
        <v>324</v>
      </c>
      <c r="C42" s="3" t="s">
        <v>105</v>
      </c>
      <c r="D42" s="3" t="s">
        <v>77</v>
      </c>
      <c r="E42" s="25" t="s">
        <v>891</v>
      </c>
      <c r="F42" s="3" t="s">
        <v>164</v>
      </c>
      <c r="G42" s="3" t="s">
        <v>893</v>
      </c>
      <c r="J42" s="13" t="n">
        <f aca="false">_xlfn.IFS(F42="","",M42=F42,1,M42&lt;&gt;F42,0)</f>
        <v>0</v>
      </c>
      <c r="K42" s="13" t="n">
        <f aca="false">_xlfn.IFS(G42="","",N42=G42,1,N42&lt;&gt;G42,0)</f>
        <v>0</v>
      </c>
      <c r="L42" s="3"/>
      <c r="M42" s="3" t="s">
        <v>105</v>
      </c>
      <c r="N42" s="3" t="s">
        <v>894</v>
      </c>
    </row>
    <row r="43" customFormat="false" ht="13.8" hidden="false" customHeight="false" outlineLevel="0" collapsed="false">
      <c r="A43" s="3" t="n">
        <v>42</v>
      </c>
      <c r="B43" s="3" t="s">
        <v>473</v>
      </c>
      <c r="C43" s="3" t="s">
        <v>105</v>
      </c>
      <c r="D43" s="3" t="s">
        <v>61</v>
      </c>
      <c r="E43" s="25" t="s">
        <v>896</v>
      </c>
      <c r="F43" s="3"/>
      <c r="G43" s="3"/>
      <c r="J43" s="13" t="str">
        <f aca="false">_xlfn.IFS(F43="","",M43=F43,1,M43&lt;&gt;F43,0)</f>
        <v/>
      </c>
      <c r="K43" s="13" t="str">
        <f aca="false">_xlfn.IFS(G43="","",N43=G43,1,N43&lt;&gt;G43,0)</f>
        <v/>
      </c>
      <c r="L43" s="3"/>
      <c r="M43" s="3" t="s">
        <v>105</v>
      </c>
      <c r="N43" s="3" t="s">
        <v>61</v>
      </c>
    </row>
    <row r="44" customFormat="false" ht="13.8" hidden="false" customHeight="false" outlineLevel="0" collapsed="false">
      <c r="A44" s="3" t="n">
        <v>43</v>
      </c>
      <c r="B44" s="3" t="s">
        <v>271</v>
      </c>
      <c r="C44" s="3" t="s">
        <v>133</v>
      </c>
      <c r="D44" s="3" t="s">
        <v>65</v>
      </c>
      <c r="E44" s="25" t="s">
        <v>482</v>
      </c>
      <c r="F44" s="3" t="s">
        <v>105</v>
      </c>
      <c r="G44" s="3" t="s">
        <v>61</v>
      </c>
      <c r="J44" s="13"/>
      <c r="K44" s="13"/>
      <c r="L44" s="3" t="s">
        <v>257</v>
      </c>
      <c r="M44" s="3" t="s">
        <v>133</v>
      </c>
      <c r="N44" s="3" t="s">
        <v>65</v>
      </c>
    </row>
    <row r="45" customFormat="false" ht="13.8" hidden="false" customHeight="false" outlineLevel="0" collapsed="false">
      <c r="A45" s="3" t="n">
        <v>44</v>
      </c>
      <c r="B45" s="3" t="s">
        <v>380</v>
      </c>
      <c r="C45" s="3" t="s">
        <v>105</v>
      </c>
      <c r="D45" s="3" t="s">
        <v>61</v>
      </c>
      <c r="E45" s="25" t="s">
        <v>896</v>
      </c>
      <c r="F45" s="3"/>
      <c r="G45" s="3"/>
      <c r="J45" s="13" t="str">
        <f aca="false">_xlfn.IFS(F45="","",M45=F45,1,M45&lt;&gt;F45,0)</f>
        <v/>
      </c>
      <c r="K45" s="13" t="str">
        <f aca="false">_xlfn.IFS(G45="","",N45=G45,1,N45&lt;&gt;G45,0)</f>
        <v/>
      </c>
      <c r="L45" s="3"/>
      <c r="M45" s="3" t="s">
        <v>105</v>
      </c>
      <c r="N45" s="3" t="s">
        <v>61</v>
      </c>
    </row>
    <row r="46" customFormat="false" ht="13.8" hidden="false" customHeight="false" outlineLevel="0" collapsed="false">
      <c r="A46" s="3" t="n">
        <v>45</v>
      </c>
      <c r="B46" s="3" t="s">
        <v>205</v>
      </c>
      <c r="C46" s="3" t="s">
        <v>150</v>
      </c>
      <c r="D46" s="3" t="s">
        <v>75</v>
      </c>
      <c r="E46" s="25" t="s">
        <v>482</v>
      </c>
      <c r="F46" s="3" t="s">
        <v>105</v>
      </c>
      <c r="G46" s="3" t="s">
        <v>894</v>
      </c>
      <c r="J46" s="13"/>
      <c r="K46" s="13"/>
      <c r="L46" s="3" t="s">
        <v>257</v>
      </c>
      <c r="M46" s="3" t="s">
        <v>164</v>
      </c>
      <c r="N46" s="3" t="s">
        <v>75</v>
      </c>
    </row>
    <row r="47" customFormat="false" ht="13.8" hidden="false" customHeight="false" outlineLevel="0" collapsed="false">
      <c r="A47" s="3" t="n">
        <v>46</v>
      </c>
      <c r="B47" s="3" t="s">
        <v>447</v>
      </c>
      <c r="C47" s="3" t="s">
        <v>143</v>
      </c>
      <c r="D47" s="3" t="s">
        <v>288</v>
      </c>
      <c r="E47" s="25" t="s">
        <v>482</v>
      </c>
      <c r="F47" s="3" t="s">
        <v>105</v>
      </c>
      <c r="G47" s="3" t="s">
        <v>61</v>
      </c>
      <c r="J47" s="13"/>
      <c r="K47" s="13"/>
      <c r="L47" s="3" t="s">
        <v>257</v>
      </c>
      <c r="M47" s="3" t="s">
        <v>143</v>
      </c>
      <c r="N47" s="3" t="s">
        <v>288</v>
      </c>
    </row>
    <row r="48" customFormat="false" ht="13.8" hidden="false" customHeight="false" outlineLevel="0" collapsed="false">
      <c r="A48" s="3" t="n">
        <v>47</v>
      </c>
      <c r="B48" s="3" t="s">
        <v>463</v>
      </c>
      <c r="C48" s="3" t="s">
        <v>105</v>
      </c>
      <c r="D48" s="3" t="s">
        <v>61</v>
      </c>
      <c r="E48" s="25" t="s">
        <v>896</v>
      </c>
      <c r="F48" s="3"/>
      <c r="G48" s="3"/>
      <c r="J48" s="13" t="str">
        <f aca="false">_xlfn.IFS(F48="","",M48=F48,1,M48&lt;&gt;F48,0)</f>
        <v/>
      </c>
      <c r="K48" s="13" t="str">
        <f aca="false">_xlfn.IFS(G48="","",N48=G48,1,N48&lt;&gt;G48,0)</f>
        <v/>
      </c>
      <c r="L48" s="3"/>
      <c r="M48" s="3" t="s">
        <v>105</v>
      </c>
      <c r="N48" s="3" t="s">
        <v>61</v>
      </c>
    </row>
    <row r="49" customFormat="false" ht="13.8" hidden="false" customHeight="false" outlineLevel="0" collapsed="false">
      <c r="A49" s="3" t="n">
        <v>48</v>
      </c>
      <c r="B49" s="3" t="s">
        <v>172</v>
      </c>
      <c r="C49" s="3" t="s">
        <v>105</v>
      </c>
      <c r="D49" s="3" t="s">
        <v>61</v>
      </c>
      <c r="E49" s="25" t="s">
        <v>482</v>
      </c>
      <c r="F49" s="3" t="s">
        <v>143</v>
      </c>
      <c r="G49" s="3" t="s">
        <v>160</v>
      </c>
      <c r="J49" s="13" t="n">
        <f aca="false">_xlfn.IFS(F49="","",M49=F49,1,M49&lt;&gt;F49,0)</f>
        <v>0</v>
      </c>
      <c r="K49" s="13" t="n">
        <f aca="false">_xlfn.IFS(G49="","",N49=G49,1,N49&lt;&gt;G49,0)</f>
        <v>0</v>
      </c>
      <c r="L49" s="3"/>
      <c r="M49" s="3" t="s">
        <v>105</v>
      </c>
      <c r="N49" s="3" t="s">
        <v>61</v>
      </c>
    </row>
    <row r="50" customFormat="false" ht="13.8" hidden="false" customHeight="false" outlineLevel="0" collapsed="false">
      <c r="A50" s="3" t="n">
        <v>49</v>
      </c>
      <c r="B50" s="3" t="s">
        <v>759</v>
      </c>
      <c r="C50" s="3" t="s">
        <v>105</v>
      </c>
      <c r="D50" s="3" t="s">
        <v>61</v>
      </c>
      <c r="E50" s="25" t="s">
        <v>896</v>
      </c>
      <c r="F50" s="3"/>
      <c r="G50" s="3"/>
      <c r="J50" s="13" t="str">
        <f aca="false">_xlfn.IFS(F50="","",M50=F50,1,M50&lt;&gt;F50,0)</f>
        <v/>
      </c>
      <c r="K50" s="13" t="str">
        <f aca="false">_xlfn.IFS(G50="","",N50=G50,1,N50&lt;&gt;G50,0)</f>
        <v/>
      </c>
      <c r="L50" s="3"/>
      <c r="M50" s="3" t="s">
        <v>105</v>
      </c>
      <c r="N50" s="3" t="s">
        <v>61</v>
      </c>
    </row>
    <row r="51" customFormat="false" ht="13.8" hidden="false" customHeight="false" outlineLevel="0" collapsed="false">
      <c r="A51" s="3" t="n">
        <v>50</v>
      </c>
      <c r="B51" s="3" t="s">
        <v>566</v>
      </c>
      <c r="C51" s="3" t="s">
        <v>150</v>
      </c>
      <c r="D51" s="3" t="s">
        <v>254</v>
      </c>
      <c r="E51" s="25" t="s">
        <v>891</v>
      </c>
      <c r="F51" s="3" t="s">
        <v>164</v>
      </c>
      <c r="G51" s="3" t="s">
        <v>154</v>
      </c>
      <c r="J51" s="13" t="n">
        <f aca="false">_xlfn.IFS(F51="","",M51=F51,1,M51&lt;&gt;F51,0)</f>
        <v>1</v>
      </c>
      <c r="K51" s="13" t="n">
        <f aca="false">_xlfn.IFS(G51="","",N51=G51,1,N51&lt;&gt;G51,0)</f>
        <v>1</v>
      </c>
      <c r="L51" s="3"/>
      <c r="M51" s="3" t="s">
        <v>164</v>
      </c>
      <c r="N51" s="3" t="s">
        <v>154</v>
      </c>
    </row>
    <row r="52" customFormat="false" ht="13.8" hidden="false" customHeight="false" outlineLevel="0" collapsed="false">
      <c r="A52" s="3" t="n">
        <v>51</v>
      </c>
      <c r="B52" s="3" t="s">
        <v>410</v>
      </c>
      <c r="C52" s="3" t="s">
        <v>133</v>
      </c>
      <c r="D52" s="3" t="s">
        <v>65</v>
      </c>
      <c r="E52" s="25" t="s">
        <v>482</v>
      </c>
      <c r="F52" s="3" t="s">
        <v>105</v>
      </c>
      <c r="G52" s="3" t="s">
        <v>61</v>
      </c>
      <c r="J52" s="13"/>
      <c r="K52" s="13"/>
      <c r="L52" s="3" t="s">
        <v>257</v>
      </c>
      <c r="M52" s="3" t="s">
        <v>133</v>
      </c>
      <c r="N52" s="3" t="s">
        <v>65</v>
      </c>
    </row>
    <row r="53" customFormat="false" ht="13.8" hidden="false" customHeight="false" outlineLevel="0" collapsed="false">
      <c r="A53" s="3" t="n">
        <v>52</v>
      </c>
      <c r="B53" s="3" t="s">
        <v>206</v>
      </c>
      <c r="C53" s="3" t="s">
        <v>143</v>
      </c>
      <c r="D53" s="3" t="s">
        <v>198</v>
      </c>
      <c r="E53" s="25" t="s">
        <v>482</v>
      </c>
      <c r="F53" s="3" t="s">
        <v>143</v>
      </c>
      <c r="G53" s="3" t="s">
        <v>160</v>
      </c>
      <c r="J53" s="13"/>
      <c r="K53" s="13"/>
      <c r="L53" s="3" t="s">
        <v>257</v>
      </c>
      <c r="M53" s="3" t="s">
        <v>143</v>
      </c>
      <c r="N53" s="3" t="s">
        <v>198</v>
      </c>
    </row>
    <row r="54" customFormat="false" ht="13.8" hidden="false" customHeight="false" outlineLevel="0" collapsed="false">
      <c r="A54" s="3" t="n">
        <v>53</v>
      </c>
      <c r="B54" s="3" t="s">
        <v>455</v>
      </c>
      <c r="C54" s="3" t="s">
        <v>105</v>
      </c>
      <c r="D54" s="3" t="s">
        <v>77</v>
      </c>
      <c r="E54" s="25" t="s">
        <v>482</v>
      </c>
      <c r="F54" s="3" t="s">
        <v>105</v>
      </c>
      <c r="G54" s="3" t="s">
        <v>894</v>
      </c>
      <c r="J54" s="13" t="n">
        <f aca="false">_xlfn.IFS(F54="","",M54=F54,1,M54&lt;&gt;F54,0)</f>
        <v>1</v>
      </c>
      <c r="K54" s="13" t="n">
        <f aca="false">_xlfn.IFS(G54="","",N54=G54,1,N54&lt;&gt;G54,0)</f>
        <v>1</v>
      </c>
      <c r="L54" s="3"/>
      <c r="M54" s="3" t="s">
        <v>105</v>
      </c>
      <c r="N54" s="3" t="s">
        <v>894</v>
      </c>
    </row>
    <row r="55" customFormat="false" ht="13.8" hidden="false" customHeight="false" outlineLevel="0" collapsed="false">
      <c r="A55" s="3" t="n">
        <v>54</v>
      </c>
      <c r="B55" s="3" t="s">
        <v>761</v>
      </c>
      <c r="C55" s="3" t="s">
        <v>105</v>
      </c>
      <c r="D55" s="3" t="s">
        <v>61</v>
      </c>
      <c r="E55" s="25" t="s">
        <v>896</v>
      </c>
      <c r="F55" s="3"/>
      <c r="G55" s="3"/>
      <c r="J55" s="13" t="str">
        <f aca="false">_xlfn.IFS(F55="","",M55=F55,1,M55&lt;&gt;F55,0)</f>
        <v/>
      </c>
      <c r="K55" s="13" t="str">
        <f aca="false">_xlfn.IFS(G55="","",N55=G55,1,N55&lt;&gt;G55,0)</f>
        <v/>
      </c>
      <c r="L55" s="3"/>
      <c r="M55" s="3" t="s">
        <v>105</v>
      </c>
      <c r="N55" s="3" t="s">
        <v>61</v>
      </c>
    </row>
    <row r="56" customFormat="false" ht="13.8" hidden="false" customHeight="false" outlineLevel="0" collapsed="false">
      <c r="A56" s="3" t="n">
        <v>55</v>
      </c>
      <c r="B56" s="3" t="s">
        <v>354</v>
      </c>
      <c r="C56" s="3" t="s">
        <v>105</v>
      </c>
      <c r="D56" s="3" t="s">
        <v>61</v>
      </c>
      <c r="E56" s="25" t="s">
        <v>896</v>
      </c>
      <c r="F56" s="3"/>
      <c r="G56" s="3"/>
      <c r="J56" s="13" t="str">
        <f aca="false">_xlfn.IFS(F56="","",M56=F56,1,M56&lt;&gt;F56,0)</f>
        <v/>
      </c>
      <c r="K56" s="13" t="str">
        <f aca="false">_xlfn.IFS(G56="","",N56=G56,1,N56&lt;&gt;G56,0)</f>
        <v/>
      </c>
      <c r="L56" s="3"/>
      <c r="M56" s="3" t="s">
        <v>105</v>
      </c>
      <c r="N56" s="3" t="s">
        <v>61</v>
      </c>
    </row>
    <row r="57" customFormat="false" ht="13.8" hidden="false" customHeight="false" outlineLevel="0" collapsed="false">
      <c r="A57" s="3" t="n">
        <v>56</v>
      </c>
      <c r="B57" s="3" t="s">
        <v>579</v>
      </c>
      <c r="C57" s="3" t="s">
        <v>150</v>
      </c>
      <c r="D57" s="3" t="s">
        <v>75</v>
      </c>
      <c r="E57" s="25" t="s">
        <v>891</v>
      </c>
      <c r="F57" s="3" t="s">
        <v>164</v>
      </c>
      <c r="G57" s="3" t="s">
        <v>63</v>
      </c>
      <c r="J57" s="13"/>
      <c r="K57" s="13"/>
      <c r="L57" s="3" t="s">
        <v>257</v>
      </c>
      <c r="M57" s="3" t="s">
        <v>164</v>
      </c>
      <c r="N57" s="3" t="s">
        <v>75</v>
      </c>
    </row>
    <row r="58" customFormat="false" ht="13.8" hidden="false" customHeight="false" outlineLevel="0" collapsed="false">
      <c r="A58" s="3" t="n">
        <v>57</v>
      </c>
      <c r="B58" s="3" t="s">
        <v>272</v>
      </c>
      <c r="C58" s="3" t="s">
        <v>105</v>
      </c>
      <c r="D58" s="3" t="s">
        <v>61</v>
      </c>
      <c r="E58" s="25" t="s">
        <v>896</v>
      </c>
      <c r="F58" s="3"/>
      <c r="G58" s="3"/>
      <c r="J58" s="13" t="str">
        <f aca="false">_xlfn.IFS(F58="","",M58=F58,1,M58&lt;&gt;F58,0)</f>
        <v/>
      </c>
      <c r="K58" s="13" t="str">
        <f aca="false">_xlfn.IFS(G58="","",N58=G58,1,N58&lt;&gt;G58,0)</f>
        <v/>
      </c>
      <c r="L58" s="3"/>
      <c r="M58" s="3" t="s">
        <v>105</v>
      </c>
      <c r="N58" s="3" t="s">
        <v>61</v>
      </c>
    </row>
    <row r="59" customFormat="false" ht="13.8" hidden="false" customHeight="false" outlineLevel="0" collapsed="false">
      <c r="A59" s="3" t="n">
        <v>58</v>
      </c>
      <c r="B59" s="3" t="s">
        <v>516</v>
      </c>
      <c r="C59" s="3" t="s">
        <v>105</v>
      </c>
      <c r="D59" s="3" t="s">
        <v>61</v>
      </c>
      <c r="E59" s="25" t="s">
        <v>891</v>
      </c>
      <c r="F59" s="3" t="s">
        <v>164</v>
      </c>
      <c r="G59" s="3" t="s">
        <v>63</v>
      </c>
      <c r="J59" s="13" t="n">
        <f aca="false">_xlfn.IFS(F59="","",M59=F59,1,M59&lt;&gt;F59,0)</f>
        <v>0</v>
      </c>
      <c r="K59" s="13" t="n">
        <f aca="false">_xlfn.IFS(G59="","",N59=G59,1,N59&lt;&gt;G59,0)</f>
        <v>0</v>
      </c>
      <c r="L59" s="3"/>
      <c r="M59" s="3" t="s">
        <v>105</v>
      </c>
      <c r="N59" s="3" t="s">
        <v>61</v>
      </c>
    </row>
    <row r="60" customFormat="false" ht="13.8" hidden="false" customHeight="false" outlineLevel="0" collapsed="false">
      <c r="A60" s="3" t="n">
        <v>59</v>
      </c>
      <c r="B60" s="3" t="s">
        <v>360</v>
      </c>
      <c r="C60" s="3" t="s">
        <v>150</v>
      </c>
      <c r="D60" s="3" t="s">
        <v>245</v>
      </c>
      <c r="E60" s="25" t="s">
        <v>482</v>
      </c>
      <c r="F60" s="3" t="s">
        <v>105</v>
      </c>
      <c r="G60" s="3" t="s">
        <v>59</v>
      </c>
      <c r="J60" s="13" t="n">
        <f aca="false">_xlfn.IFS(F60="","",M60=F60,1,M60&lt;&gt;F60,0)</f>
        <v>0</v>
      </c>
      <c r="K60" s="13" t="n">
        <f aca="false">_xlfn.IFS(G60="","",N60=G60,1,N60&lt;&gt;G60,0)</f>
        <v>0</v>
      </c>
      <c r="L60" s="3"/>
      <c r="M60" s="3" t="s">
        <v>164</v>
      </c>
      <c r="N60" s="3" t="s">
        <v>899</v>
      </c>
    </row>
    <row r="61" customFormat="false" ht="13.8" hidden="false" customHeight="false" outlineLevel="0" collapsed="false">
      <c r="A61" s="3" t="n">
        <v>60</v>
      </c>
      <c r="B61" s="3" t="s">
        <v>582</v>
      </c>
      <c r="C61" s="3" t="s">
        <v>105</v>
      </c>
      <c r="D61" s="3" t="s">
        <v>61</v>
      </c>
      <c r="E61" s="25" t="s">
        <v>482</v>
      </c>
      <c r="F61" s="3" t="s">
        <v>105</v>
      </c>
      <c r="G61" s="3" t="s">
        <v>61</v>
      </c>
      <c r="J61" s="13" t="n">
        <f aca="false">_xlfn.IFS(F61="","",M61=F61,1,M61&lt;&gt;F61,0)</f>
        <v>1</v>
      </c>
      <c r="K61" s="13" t="n">
        <f aca="false">_xlfn.IFS(G61="","",N61=G61,1,N61&lt;&gt;G61,0)</f>
        <v>1</v>
      </c>
      <c r="L61" s="3"/>
      <c r="M61" s="3" t="s">
        <v>105</v>
      </c>
      <c r="N61" s="3" t="s">
        <v>61</v>
      </c>
    </row>
    <row r="62" customFormat="false" ht="13.8" hidden="false" customHeight="false" outlineLevel="0" collapsed="false">
      <c r="A62" s="3" t="n">
        <v>61</v>
      </c>
      <c r="B62" s="3" t="s">
        <v>405</v>
      </c>
      <c r="C62" s="3" t="s">
        <v>143</v>
      </c>
      <c r="D62" s="3" t="s">
        <v>198</v>
      </c>
      <c r="E62" s="25" t="s">
        <v>482</v>
      </c>
      <c r="F62" s="3" t="s">
        <v>105</v>
      </c>
      <c r="G62" s="3" t="s">
        <v>61</v>
      </c>
      <c r="J62" s="13"/>
      <c r="K62" s="13"/>
      <c r="L62" s="3" t="s">
        <v>257</v>
      </c>
      <c r="M62" s="3" t="s">
        <v>143</v>
      </c>
      <c r="N62" s="3" t="s">
        <v>198</v>
      </c>
    </row>
    <row r="63" customFormat="false" ht="13.8" hidden="false" customHeight="false" outlineLevel="0" collapsed="false">
      <c r="A63" s="3" t="n">
        <v>62</v>
      </c>
      <c r="B63" s="3" t="s">
        <v>720</v>
      </c>
      <c r="C63" s="3" t="s">
        <v>105</v>
      </c>
      <c r="D63" s="3" t="s">
        <v>61</v>
      </c>
      <c r="E63" s="25" t="s">
        <v>896</v>
      </c>
      <c r="F63" s="3"/>
      <c r="G63" s="3"/>
      <c r="J63" s="13" t="str">
        <f aca="false">_xlfn.IFS(F63="","",M63=F63,1,M63&lt;&gt;F63,0)</f>
        <v/>
      </c>
      <c r="K63" s="13" t="str">
        <f aca="false">_xlfn.IFS(G63="","",N63=G63,1,N63&lt;&gt;G63,0)</f>
        <v/>
      </c>
      <c r="L63" s="3"/>
      <c r="M63" s="3" t="s">
        <v>105</v>
      </c>
      <c r="N63" s="3" t="s">
        <v>61</v>
      </c>
    </row>
    <row r="64" customFormat="false" ht="13.8" hidden="false" customHeight="false" outlineLevel="0" collapsed="false">
      <c r="A64" s="3" t="n">
        <v>63</v>
      </c>
      <c r="B64" s="3" t="s">
        <v>207</v>
      </c>
      <c r="C64" s="3" t="s">
        <v>105</v>
      </c>
      <c r="D64" s="3" t="s">
        <v>61</v>
      </c>
      <c r="E64" s="25" t="s">
        <v>891</v>
      </c>
      <c r="F64" s="3" t="s">
        <v>164</v>
      </c>
      <c r="G64" s="3" t="s">
        <v>899</v>
      </c>
      <c r="J64" s="13" t="n">
        <f aca="false">_xlfn.IFS(F64="","",M64=F64,1,M64&lt;&gt;F64,0)</f>
        <v>0</v>
      </c>
      <c r="K64" s="13" t="n">
        <f aca="false">_xlfn.IFS(G64="","",N64=G64,1,N64&lt;&gt;G64,0)</f>
        <v>0</v>
      </c>
      <c r="L64" s="3"/>
      <c r="M64" s="3" t="s">
        <v>105</v>
      </c>
      <c r="N64" s="3" t="s">
        <v>61</v>
      </c>
    </row>
    <row r="65" customFormat="false" ht="13.8" hidden="false" customHeight="false" outlineLevel="0" collapsed="false">
      <c r="A65" s="3" t="n">
        <v>64</v>
      </c>
      <c r="B65" s="3" t="s">
        <v>499</v>
      </c>
      <c r="C65" s="3" t="s">
        <v>105</v>
      </c>
      <c r="D65" s="3" t="s">
        <v>61</v>
      </c>
      <c r="E65" s="25" t="s">
        <v>891</v>
      </c>
      <c r="F65" s="3" t="s">
        <v>164</v>
      </c>
      <c r="G65" s="3" t="s">
        <v>154</v>
      </c>
      <c r="J65" s="13" t="n">
        <f aca="false">_xlfn.IFS(F65="","",M65=F65,1,M65&lt;&gt;F65,0)</f>
        <v>0</v>
      </c>
      <c r="K65" s="13" t="n">
        <f aca="false">_xlfn.IFS(G65="","",N65=G65,1,N65&lt;&gt;G65,0)</f>
        <v>0</v>
      </c>
      <c r="L65" s="3"/>
      <c r="M65" s="3" t="s">
        <v>105</v>
      </c>
      <c r="N65" s="3" t="s">
        <v>61</v>
      </c>
    </row>
    <row r="66" customFormat="false" ht="13.8" hidden="false" customHeight="false" outlineLevel="0" collapsed="false">
      <c r="A66" s="3" t="n">
        <v>65</v>
      </c>
      <c r="B66" s="3" t="s">
        <v>348</v>
      </c>
      <c r="C66" s="3" t="s">
        <v>143</v>
      </c>
      <c r="D66" s="3" t="s">
        <v>198</v>
      </c>
      <c r="E66" s="25" t="s">
        <v>891</v>
      </c>
      <c r="F66" s="3" t="s">
        <v>164</v>
      </c>
      <c r="G66" s="3" t="s">
        <v>884</v>
      </c>
      <c r="J66" s="13"/>
      <c r="K66" s="13"/>
      <c r="L66" s="3" t="s">
        <v>257</v>
      </c>
      <c r="M66" s="3" t="s">
        <v>143</v>
      </c>
      <c r="N66" s="3" t="s">
        <v>198</v>
      </c>
    </row>
    <row r="67" customFormat="false" ht="13.8" hidden="false" customHeight="false" outlineLevel="0" collapsed="false">
      <c r="A67" s="3" t="n">
        <v>66</v>
      </c>
      <c r="B67" s="3" t="s">
        <v>168</v>
      </c>
      <c r="C67" s="3" t="s">
        <v>105</v>
      </c>
      <c r="D67" s="3" t="s">
        <v>61</v>
      </c>
      <c r="E67" s="25" t="s">
        <v>482</v>
      </c>
      <c r="F67" s="3" t="s">
        <v>143</v>
      </c>
      <c r="G67" s="3" t="s">
        <v>160</v>
      </c>
      <c r="J67" s="13" t="n">
        <f aca="false">_xlfn.IFS(F67="","",M67=F67,1,M67&lt;&gt;F67,0)</f>
        <v>0</v>
      </c>
      <c r="K67" s="13" t="n">
        <f aca="false">_xlfn.IFS(G67="","",N67=G67,1,N67&lt;&gt;G67,0)</f>
        <v>0</v>
      </c>
      <c r="L67" s="3"/>
      <c r="M67" s="3" t="s">
        <v>105</v>
      </c>
      <c r="N67" s="3" t="s">
        <v>61</v>
      </c>
    </row>
    <row r="68" customFormat="false" ht="13.8" hidden="false" customHeight="false" outlineLevel="0" collapsed="false">
      <c r="A68" s="3" t="n">
        <v>67</v>
      </c>
      <c r="B68" s="3" t="s">
        <v>208</v>
      </c>
      <c r="C68" s="3" t="s">
        <v>143</v>
      </c>
      <c r="D68" s="3" t="s">
        <v>198</v>
      </c>
      <c r="E68" s="25" t="s">
        <v>482</v>
      </c>
      <c r="F68" s="3" t="s">
        <v>81</v>
      </c>
      <c r="G68" s="3"/>
      <c r="J68" s="13"/>
      <c r="K68" s="13"/>
      <c r="L68" s="3" t="s">
        <v>257</v>
      </c>
      <c r="M68" s="3" t="s">
        <v>143</v>
      </c>
      <c r="N68" s="3" t="s">
        <v>198</v>
      </c>
    </row>
    <row r="69" customFormat="false" ht="13.8" hidden="false" customHeight="false" outlineLevel="0" collapsed="false">
      <c r="A69" s="3" t="n">
        <v>68</v>
      </c>
      <c r="B69" s="3" t="s">
        <v>209</v>
      </c>
      <c r="C69" s="3" t="s">
        <v>150</v>
      </c>
      <c r="D69" s="3" t="s">
        <v>75</v>
      </c>
      <c r="E69" s="25" t="s">
        <v>891</v>
      </c>
      <c r="F69" s="3" t="s">
        <v>164</v>
      </c>
      <c r="G69" s="3" t="s">
        <v>63</v>
      </c>
      <c r="J69" s="13"/>
      <c r="K69" s="13"/>
      <c r="L69" s="3" t="s">
        <v>257</v>
      </c>
      <c r="M69" s="3" t="s">
        <v>164</v>
      </c>
      <c r="N69" s="3" t="s">
        <v>75</v>
      </c>
    </row>
    <row r="70" customFormat="false" ht="13.8" hidden="false" customHeight="false" outlineLevel="0" collapsed="false">
      <c r="A70" s="3" t="n">
        <v>69</v>
      </c>
      <c r="B70" s="3" t="s">
        <v>664</v>
      </c>
      <c r="C70" s="3" t="s">
        <v>143</v>
      </c>
      <c r="D70" s="3" t="s">
        <v>198</v>
      </c>
      <c r="E70" s="25" t="s">
        <v>891</v>
      </c>
      <c r="F70" s="3" t="s">
        <v>164</v>
      </c>
      <c r="G70" s="3" t="s">
        <v>63</v>
      </c>
      <c r="J70" s="13"/>
      <c r="K70" s="13"/>
      <c r="L70" s="3" t="s">
        <v>257</v>
      </c>
      <c r="M70" s="3" t="s">
        <v>143</v>
      </c>
      <c r="N70" s="3" t="s">
        <v>198</v>
      </c>
    </row>
    <row r="71" customFormat="false" ht="13.8" hidden="false" customHeight="false" outlineLevel="0" collapsed="false">
      <c r="A71" s="3" t="n">
        <v>70</v>
      </c>
      <c r="B71" s="3" t="s">
        <v>210</v>
      </c>
      <c r="C71" s="3" t="s">
        <v>105</v>
      </c>
      <c r="D71" s="3" t="s">
        <v>61</v>
      </c>
      <c r="E71" s="25" t="s">
        <v>482</v>
      </c>
      <c r="F71" s="3" t="s">
        <v>81</v>
      </c>
      <c r="G71" s="3"/>
      <c r="J71" s="13" t="n">
        <f aca="false">_xlfn.IFS(F71="","",M71=F71,1,M71&lt;&gt;F71,0)</f>
        <v>0</v>
      </c>
      <c r="K71" s="13" t="str">
        <f aca="false">_xlfn.IFS(G71="","",N71=G71,1,N71&lt;&gt;G71,0)</f>
        <v/>
      </c>
      <c r="L71" s="3"/>
      <c r="M71" s="3" t="s">
        <v>105</v>
      </c>
      <c r="N71" s="3" t="s">
        <v>61</v>
      </c>
    </row>
    <row r="72" customFormat="false" ht="13.8" hidden="false" customHeight="false" outlineLevel="0" collapsed="false">
      <c r="A72" s="3" t="n">
        <v>71</v>
      </c>
      <c r="B72" s="3" t="s">
        <v>800</v>
      </c>
      <c r="C72" s="3" t="s">
        <v>105</v>
      </c>
      <c r="D72" s="3" t="s">
        <v>61</v>
      </c>
      <c r="E72" s="25" t="s">
        <v>482</v>
      </c>
      <c r="F72" s="3" t="s">
        <v>105</v>
      </c>
      <c r="G72" s="3" t="s">
        <v>61</v>
      </c>
      <c r="J72" s="13" t="n">
        <f aca="false">_xlfn.IFS(F72="","",M72=F72,1,M72&lt;&gt;F72,0)</f>
        <v>1</v>
      </c>
      <c r="K72" s="13" t="n">
        <f aca="false">_xlfn.IFS(G72="","",N72=G72,1,N72&lt;&gt;G72,0)</f>
        <v>1</v>
      </c>
      <c r="L72" s="3"/>
      <c r="M72" s="3" t="s">
        <v>105</v>
      </c>
      <c r="N72" s="3" t="s">
        <v>61</v>
      </c>
    </row>
    <row r="73" customFormat="false" ht="13.8" hidden="false" customHeight="false" outlineLevel="0" collapsed="false">
      <c r="A73" s="3" t="n">
        <v>72</v>
      </c>
      <c r="B73" s="3" t="s">
        <v>471</v>
      </c>
      <c r="C73" s="3" t="s">
        <v>105</v>
      </c>
      <c r="D73" s="3" t="s">
        <v>61</v>
      </c>
      <c r="E73" s="25" t="s">
        <v>482</v>
      </c>
      <c r="F73" s="3" t="s">
        <v>105</v>
      </c>
      <c r="G73" s="3" t="s">
        <v>894</v>
      </c>
      <c r="J73" s="13" t="n">
        <f aca="false">_xlfn.IFS(F73="","",M73=F73,1,M73&lt;&gt;F73,0)</f>
        <v>1</v>
      </c>
      <c r="K73" s="13" t="n">
        <f aca="false">_xlfn.IFS(G73="","",N73=G73,1,N73&lt;&gt;G73,0)</f>
        <v>0</v>
      </c>
      <c r="L73" s="3"/>
      <c r="M73" s="3" t="s">
        <v>105</v>
      </c>
      <c r="N73" s="3" t="s">
        <v>61</v>
      </c>
    </row>
    <row r="74" customFormat="false" ht="13.8" hidden="false" customHeight="false" outlineLevel="0" collapsed="false">
      <c r="A74" s="3" t="n">
        <v>73</v>
      </c>
      <c r="B74" s="3" t="s">
        <v>361</v>
      </c>
      <c r="C74" s="3" t="s">
        <v>105</v>
      </c>
      <c r="D74" s="3" t="s">
        <v>61</v>
      </c>
      <c r="E74" s="25" t="s">
        <v>891</v>
      </c>
      <c r="F74" s="3" t="s">
        <v>164</v>
      </c>
      <c r="G74" s="3" t="s">
        <v>899</v>
      </c>
      <c r="J74" s="13" t="n">
        <f aca="false">_xlfn.IFS(F74="","",M74=F74,1,M74&lt;&gt;F74,0)</f>
        <v>0</v>
      </c>
      <c r="K74" s="13" t="n">
        <f aca="false">_xlfn.IFS(G74="","",N74=G74,1,N74&lt;&gt;G74,0)</f>
        <v>0</v>
      </c>
      <c r="L74" s="3"/>
      <c r="M74" s="3" t="s">
        <v>105</v>
      </c>
      <c r="N74" s="3" t="s">
        <v>61</v>
      </c>
    </row>
    <row r="75" customFormat="false" ht="13.8" hidden="false" customHeight="false" outlineLevel="0" collapsed="false">
      <c r="A75" s="3" t="n">
        <v>74</v>
      </c>
      <c r="B75" s="3" t="s">
        <v>212</v>
      </c>
      <c r="C75" s="3" t="s">
        <v>105</v>
      </c>
      <c r="D75" s="3" t="s">
        <v>55</v>
      </c>
      <c r="E75" s="25" t="s">
        <v>891</v>
      </c>
      <c r="F75" s="3" t="s">
        <v>164</v>
      </c>
      <c r="G75" s="3" t="s">
        <v>63</v>
      </c>
      <c r="J75" s="13" t="n">
        <f aca="false">_xlfn.IFS(F75="","",M75=F75,1,M75&lt;&gt;F75,0)</f>
        <v>0</v>
      </c>
      <c r="K75" s="13" t="n">
        <f aca="false">_xlfn.IFS(G75="","",N75=G75,1,N75&lt;&gt;G75,0)</f>
        <v>0</v>
      </c>
      <c r="L75" s="3"/>
      <c r="M75" s="3" t="s">
        <v>105</v>
      </c>
      <c r="N75" s="3" t="s">
        <v>55</v>
      </c>
    </row>
    <row r="76" customFormat="false" ht="13.8" hidden="false" customHeight="false" outlineLevel="0" collapsed="false">
      <c r="A76" s="3" t="n">
        <v>75</v>
      </c>
      <c r="B76" s="3" t="s">
        <v>325</v>
      </c>
      <c r="C76" s="3" t="s">
        <v>105</v>
      </c>
      <c r="D76" s="3" t="s">
        <v>77</v>
      </c>
      <c r="E76" s="25" t="s">
        <v>482</v>
      </c>
      <c r="F76" s="3" t="s">
        <v>105</v>
      </c>
      <c r="G76" s="3" t="s">
        <v>61</v>
      </c>
      <c r="J76" s="13" t="n">
        <f aca="false">_xlfn.IFS(F76="","",M76=F76,1,M76&lt;&gt;F76,0)</f>
        <v>1</v>
      </c>
      <c r="K76" s="13" t="n">
        <f aca="false">_xlfn.IFS(G76="","",N76=G76,1,N76&lt;&gt;G76,0)</f>
        <v>0</v>
      </c>
      <c r="L76" s="3"/>
      <c r="M76" s="3" t="s">
        <v>105</v>
      </c>
      <c r="N76" s="3" t="s">
        <v>894</v>
      </c>
    </row>
    <row r="77" customFormat="false" ht="13.8" hidden="false" customHeight="false" outlineLevel="0" collapsed="false">
      <c r="A77" s="3" t="n">
        <v>76</v>
      </c>
      <c r="B77" s="3" t="s">
        <v>214</v>
      </c>
      <c r="C77" s="3" t="s">
        <v>105</v>
      </c>
      <c r="D77" s="3" t="s">
        <v>61</v>
      </c>
      <c r="E77" s="25" t="s">
        <v>891</v>
      </c>
      <c r="F77" s="3" t="s">
        <v>164</v>
      </c>
      <c r="G77" s="3" t="s">
        <v>154</v>
      </c>
      <c r="J77" s="13" t="n">
        <f aca="false">_xlfn.IFS(F77="","",M77=F77,1,M77&lt;&gt;F77,0)</f>
        <v>0</v>
      </c>
      <c r="K77" s="13" t="n">
        <f aca="false">_xlfn.IFS(G77="","",N77=G77,1,N77&lt;&gt;G77,0)</f>
        <v>0</v>
      </c>
      <c r="L77" s="3"/>
      <c r="M77" s="3" t="s">
        <v>105</v>
      </c>
      <c r="N77" s="3" t="s">
        <v>61</v>
      </c>
    </row>
    <row r="78" customFormat="false" ht="13.8" hidden="false" customHeight="false" outlineLevel="0" collapsed="false">
      <c r="A78" s="3" t="n">
        <v>77</v>
      </c>
      <c r="B78" s="3" t="s">
        <v>666</v>
      </c>
      <c r="C78" s="3" t="s">
        <v>143</v>
      </c>
      <c r="D78" s="3" t="s">
        <v>288</v>
      </c>
      <c r="E78" s="25" t="s">
        <v>482</v>
      </c>
      <c r="F78" s="3" t="s">
        <v>105</v>
      </c>
      <c r="G78" s="3" t="s">
        <v>61</v>
      </c>
      <c r="J78" s="13"/>
      <c r="K78" s="13"/>
      <c r="L78" s="3" t="s">
        <v>257</v>
      </c>
      <c r="M78" s="3" t="s">
        <v>143</v>
      </c>
      <c r="N78" s="3" t="s">
        <v>288</v>
      </c>
    </row>
    <row r="79" customFormat="false" ht="13.8" hidden="false" customHeight="false" outlineLevel="0" collapsed="false">
      <c r="A79" s="3" t="n">
        <v>78</v>
      </c>
      <c r="B79" s="3" t="s">
        <v>215</v>
      </c>
      <c r="C79" s="3" t="s">
        <v>105</v>
      </c>
      <c r="D79" s="3" t="s">
        <v>61</v>
      </c>
      <c r="E79" s="25" t="s">
        <v>891</v>
      </c>
      <c r="F79" s="3" t="s">
        <v>164</v>
      </c>
      <c r="G79" s="3" t="s">
        <v>899</v>
      </c>
      <c r="J79" s="13" t="n">
        <f aca="false">_xlfn.IFS(F79="","",M79=F79,1,M79&lt;&gt;F79,0)</f>
        <v>0</v>
      </c>
      <c r="K79" s="13" t="n">
        <f aca="false">_xlfn.IFS(G79="","",N79=G79,1,N79&lt;&gt;G79,0)</f>
        <v>0</v>
      </c>
      <c r="L79" s="3"/>
      <c r="M79" s="3" t="s">
        <v>105</v>
      </c>
      <c r="N79" s="3" t="s">
        <v>61</v>
      </c>
    </row>
    <row r="80" customFormat="false" ht="13.8" hidden="false" customHeight="false" outlineLevel="0" collapsed="false">
      <c r="A80" s="3" t="n">
        <v>79</v>
      </c>
      <c r="B80" s="3" t="s">
        <v>670</v>
      </c>
      <c r="C80" s="3" t="s">
        <v>105</v>
      </c>
      <c r="D80" s="3" t="s">
        <v>61</v>
      </c>
      <c r="E80" s="25" t="s">
        <v>896</v>
      </c>
      <c r="F80" s="3"/>
      <c r="G80" s="3"/>
      <c r="J80" s="13" t="str">
        <f aca="false">_xlfn.IFS(F80="","",M80=F80,1,M80&lt;&gt;F80,0)</f>
        <v/>
      </c>
      <c r="K80" s="13" t="str">
        <f aca="false">_xlfn.IFS(G80="","",N80=G80,1,N80&lt;&gt;G80,0)</f>
        <v/>
      </c>
      <c r="L80" s="3"/>
      <c r="M80" s="3" t="s">
        <v>105</v>
      </c>
      <c r="N80" s="3" t="s">
        <v>61</v>
      </c>
    </row>
    <row r="81" customFormat="false" ht="13.8" hidden="false" customHeight="false" outlineLevel="0" collapsed="false">
      <c r="A81" s="3" t="n">
        <v>80</v>
      </c>
      <c r="B81" s="3" t="s">
        <v>863</v>
      </c>
      <c r="C81" s="3" t="s">
        <v>150</v>
      </c>
      <c r="D81" s="3" t="s">
        <v>75</v>
      </c>
      <c r="E81" s="25" t="s">
        <v>891</v>
      </c>
      <c r="F81" s="3" t="s">
        <v>164</v>
      </c>
      <c r="G81" s="3" t="s">
        <v>63</v>
      </c>
      <c r="J81" s="13"/>
      <c r="K81" s="13"/>
      <c r="L81" s="3" t="s">
        <v>257</v>
      </c>
      <c r="M81" s="3" t="s">
        <v>164</v>
      </c>
      <c r="N81" s="3" t="s">
        <v>75</v>
      </c>
    </row>
    <row r="82" customFormat="false" ht="13.8" hidden="false" customHeight="false" outlineLevel="0" collapsed="false">
      <c r="A82" s="3" t="n">
        <v>81</v>
      </c>
      <c r="B82" s="3" t="s">
        <v>333</v>
      </c>
      <c r="C82" s="3" t="s">
        <v>105</v>
      </c>
      <c r="D82" s="3" t="s">
        <v>61</v>
      </c>
      <c r="E82" s="25" t="s">
        <v>896</v>
      </c>
      <c r="F82" s="3"/>
      <c r="G82" s="3"/>
      <c r="J82" s="13" t="str">
        <f aca="false">_xlfn.IFS(F82="","",M82=F82,1,M82&lt;&gt;F82,0)</f>
        <v/>
      </c>
      <c r="K82" s="13" t="str">
        <f aca="false">_xlfn.IFS(G82="","",N82=G82,1,N82&lt;&gt;G82,0)</f>
        <v/>
      </c>
      <c r="L82" s="3"/>
      <c r="M82" s="3" t="s">
        <v>105</v>
      </c>
      <c r="N82" s="3" t="s">
        <v>61</v>
      </c>
    </row>
    <row r="83" customFormat="false" ht="13.8" hidden="false" customHeight="false" outlineLevel="0" collapsed="false">
      <c r="A83" s="3" t="n">
        <v>82</v>
      </c>
      <c r="B83" s="3" t="s">
        <v>334</v>
      </c>
      <c r="C83" s="3" t="s">
        <v>105</v>
      </c>
      <c r="D83" s="3" t="s">
        <v>61</v>
      </c>
      <c r="E83" s="25" t="s">
        <v>482</v>
      </c>
      <c r="F83" s="3" t="s">
        <v>105</v>
      </c>
      <c r="G83" s="3" t="s">
        <v>61</v>
      </c>
      <c r="J83" s="13" t="n">
        <f aca="false">_xlfn.IFS(F83="","",M83=F83,1,M83&lt;&gt;F83,0)</f>
        <v>1</v>
      </c>
      <c r="K83" s="13" t="n">
        <f aca="false">_xlfn.IFS(G83="","",N83=G83,1,N83&lt;&gt;G83,0)</f>
        <v>1</v>
      </c>
      <c r="L83" s="3"/>
      <c r="M83" s="3" t="s">
        <v>105</v>
      </c>
      <c r="N83" s="3" t="s">
        <v>61</v>
      </c>
    </row>
    <row r="84" customFormat="false" ht="13.8" hidden="false" customHeight="false" outlineLevel="0" collapsed="false">
      <c r="A84" s="3" t="n">
        <v>83</v>
      </c>
      <c r="B84" s="3" t="s">
        <v>335</v>
      </c>
      <c r="C84" s="3" t="s">
        <v>105</v>
      </c>
      <c r="D84" s="3" t="s">
        <v>61</v>
      </c>
      <c r="E84" s="25" t="s">
        <v>891</v>
      </c>
      <c r="F84" s="3" t="s">
        <v>164</v>
      </c>
      <c r="G84" s="3" t="s">
        <v>154</v>
      </c>
      <c r="J84" s="13" t="n">
        <f aca="false">_xlfn.IFS(F84="","",M84=F84,1,M84&lt;&gt;F84,0)</f>
        <v>0</v>
      </c>
      <c r="K84" s="13" t="n">
        <f aca="false">_xlfn.IFS(G84="","",N84=G84,1,N84&lt;&gt;G84,0)</f>
        <v>0</v>
      </c>
      <c r="L84" s="3"/>
      <c r="M84" s="3" t="s">
        <v>105</v>
      </c>
      <c r="N84" s="3" t="s">
        <v>61</v>
      </c>
    </row>
    <row r="85" customFormat="false" ht="13.8" hidden="false" customHeight="false" outlineLevel="0" collapsed="false">
      <c r="A85" s="3" t="n">
        <v>84</v>
      </c>
      <c r="B85" s="3" t="s">
        <v>216</v>
      </c>
      <c r="C85" s="3" t="s">
        <v>105</v>
      </c>
      <c r="D85" s="3" t="s">
        <v>61</v>
      </c>
      <c r="E85" s="25" t="s">
        <v>896</v>
      </c>
      <c r="F85" s="3"/>
      <c r="G85" s="3"/>
      <c r="J85" s="13" t="str">
        <f aca="false">_xlfn.IFS(F85="","",M85=F85,1,M85&lt;&gt;F85,0)</f>
        <v/>
      </c>
      <c r="K85" s="13" t="str">
        <f aca="false">_xlfn.IFS(G85="","",N85=G85,1,N85&lt;&gt;G85,0)</f>
        <v/>
      </c>
      <c r="L85" s="3"/>
      <c r="M85" s="3" t="s">
        <v>105</v>
      </c>
      <c r="N85" s="3" t="s">
        <v>61</v>
      </c>
    </row>
    <row r="86" customFormat="false" ht="13.8" hidden="false" customHeight="false" outlineLevel="0" collapsed="false">
      <c r="A86" s="3" t="n">
        <v>85</v>
      </c>
      <c r="B86" s="3" t="s">
        <v>609</v>
      </c>
      <c r="C86" s="3" t="s">
        <v>143</v>
      </c>
      <c r="D86" s="3" t="s">
        <v>288</v>
      </c>
      <c r="E86" s="25" t="s">
        <v>896</v>
      </c>
      <c r="F86" s="3"/>
      <c r="G86" s="3"/>
      <c r="J86" s="13"/>
      <c r="K86" s="13"/>
      <c r="L86" s="3" t="s">
        <v>257</v>
      </c>
      <c r="M86" s="3" t="s">
        <v>143</v>
      </c>
      <c r="N86" s="3" t="s">
        <v>288</v>
      </c>
    </row>
    <row r="87" customFormat="false" ht="13.8" hidden="false" customHeight="false" outlineLevel="0" collapsed="false">
      <c r="A87" s="3" t="n">
        <v>86</v>
      </c>
      <c r="B87" s="3" t="s">
        <v>217</v>
      </c>
      <c r="C87" s="3" t="s">
        <v>143</v>
      </c>
      <c r="D87" s="3" t="s">
        <v>198</v>
      </c>
      <c r="E87" s="25" t="s">
        <v>482</v>
      </c>
      <c r="F87" s="3" t="s">
        <v>143</v>
      </c>
      <c r="G87" s="3" t="s">
        <v>160</v>
      </c>
      <c r="J87" s="13"/>
      <c r="K87" s="13"/>
      <c r="L87" s="3" t="s">
        <v>257</v>
      </c>
      <c r="M87" s="3" t="s">
        <v>143</v>
      </c>
      <c r="N87" s="3" t="s">
        <v>198</v>
      </c>
    </row>
    <row r="88" customFormat="false" ht="13.8" hidden="false" customHeight="false" outlineLevel="0" collapsed="false">
      <c r="A88" s="3" t="n">
        <v>87</v>
      </c>
      <c r="B88" s="3" t="s">
        <v>568</v>
      </c>
      <c r="C88" s="3" t="s">
        <v>133</v>
      </c>
      <c r="D88" s="3" t="s">
        <v>65</v>
      </c>
      <c r="E88" s="25" t="s">
        <v>891</v>
      </c>
      <c r="F88" s="3" t="s">
        <v>164</v>
      </c>
      <c r="G88" s="3" t="s">
        <v>63</v>
      </c>
      <c r="J88" s="13"/>
      <c r="K88" s="13"/>
      <c r="L88" s="3" t="s">
        <v>257</v>
      </c>
      <c r="M88" s="3" t="s">
        <v>133</v>
      </c>
      <c r="N88" s="3" t="s">
        <v>65</v>
      </c>
    </row>
    <row r="89" customFormat="false" ht="13.8" hidden="false" customHeight="false" outlineLevel="0" collapsed="false">
      <c r="A89" s="3" t="n">
        <v>88</v>
      </c>
      <c r="B89" s="3" t="s">
        <v>273</v>
      </c>
      <c r="C89" s="3" t="s">
        <v>105</v>
      </c>
      <c r="D89" s="3" t="s">
        <v>61</v>
      </c>
      <c r="E89" s="25" t="s">
        <v>891</v>
      </c>
      <c r="F89" s="3" t="s">
        <v>164</v>
      </c>
      <c r="G89" s="3" t="s">
        <v>899</v>
      </c>
      <c r="J89" s="13" t="n">
        <f aca="false">_xlfn.IFS(F89="","",M89=F89,1,M89&lt;&gt;F89,0)</f>
        <v>0</v>
      </c>
      <c r="K89" s="13" t="n">
        <f aca="false">_xlfn.IFS(G89="","",N89=G89,1,N89&lt;&gt;G89,0)</f>
        <v>0</v>
      </c>
      <c r="L89" s="3"/>
      <c r="M89" s="3" t="s">
        <v>105</v>
      </c>
      <c r="N89" s="3" t="s">
        <v>61</v>
      </c>
    </row>
    <row r="90" customFormat="false" ht="13.8" hidden="false" customHeight="false" outlineLevel="0" collapsed="false">
      <c r="A90" s="3" t="n">
        <v>89</v>
      </c>
      <c r="B90" s="3" t="s">
        <v>104</v>
      </c>
      <c r="C90" s="3" t="s">
        <v>105</v>
      </c>
      <c r="D90" s="3" t="s">
        <v>61</v>
      </c>
      <c r="E90" s="25" t="s">
        <v>482</v>
      </c>
      <c r="F90" s="3" t="s">
        <v>105</v>
      </c>
      <c r="G90" s="3" t="s">
        <v>61</v>
      </c>
      <c r="J90" s="13" t="n">
        <f aca="false">_xlfn.IFS(F90="","",M90=F90,1,M90&lt;&gt;F90,0)</f>
        <v>1</v>
      </c>
      <c r="K90" s="13" t="n">
        <f aca="false">_xlfn.IFS(G90="","",N90=G90,1,N90&lt;&gt;G90,0)</f>
        <v>1</v>
      </c>
      <c r="L90" s="3"/>
      <c r="M90" s="3" t="s">
        <v>105</v>
      </c>
      <c r="N90" s="3" t="s">
        <v>61</v>
      </c>
    </row>
    <row r="91" customFormat="false" ht="13.8" hidden="false" customHeight="false" outlineLevel="0" collapsed="false">
      <c r="A91" s="3" t="n">
        <v>90</v>
      </c>
      <c r="B91" s="3" t="s">
        <v>585</v>
      </c>
      <c r="C91" s="3" t="s">
        <v>133</v>
      </c>
      <c r="D91" s="3" t="s">
        <v>65</v>
      </c>
      <c r="E91" s="25" t="s">
        <v>482</v>
      </c>
      <c r="F91" s="3" t="s">
        <v>105</v>
      </c>
      <c r="G91" s="3" t="s">
        <v>61</v>
      </c>
      <c r="J91" s="13"/>
      <c r="K91" s="13"/>
      <c r="L91" s="3" t="s">
        <v>257</v>
      </c>
      <c r="M91" s="3" t="s">
        <v>133</v>
      </c>
      <c r="N91" s="3" t="s">
        <v>65</v>
      </c>
    </row>
    <row r="92" customFormat="false" ht="13.8" hidden="false" customHeight="false" outlineLevel="0" collapsed="false">
      <c r="A92" s="3" t="n">
        <v>91</v>
      </c>
      <c r="B92" s="3" t="s">
        <v>218</v>
      </c>
      <c r="C92" s="3" t="s">
        <v>105</v>
      </c>
      <c r="D92" s="3" t="s">
        <v>61</v>
      </c>
      <c r="E92" s="25" t="s">
        <v>482</v>
      </c>
      <c r="F92" s="3" t="s">
        <v>105</v>
      </c>
      <c r="G92" s="3" t="s">
        <v>61</v>
      </c>
      <c r="J92" s="13" t="n">
        <f aca="false">_xlfn.IFS(F92="","",M92=F92,1,M92&lt;&gt;F92,0)</f>
        <v>1</v>
      </c>
      <c r="K92" s="13" t="n">
        <f aca="false">_xlfn.IFS(G92="","",N92=G92,1,N92&lt;&gt;G92,0)</f>
        <v>1</v>
      </c>
      <c r="L92" s="3"/>
      <c r="M92" s="3" t="s">
        <v>105</v>
      </c>
      <c r="N92" s="3" t="s">
        <v>61</v>
      </c>
    </row>
    <row r="93" customFormat="false" ht="13.8" hidden="false" customHeight="false" outlineLevel="0" collapsed="false">
      <c r="A93" s="3" t="n">
        <v>92</v>
      </c>
      <c r="B93" s="3" t="s">
        <v>310</v>
      </c>
      <c r="C93" s="3" t="s">
        <v>133</v>
      </c>
      <c r="D93" s="3" t="s">
        <v>65</v>
      </c>
      <c r="E93" s="25" t="s">
        <v>896</v>
      </c>
      <c r="F93" s="3"/>
      <c r="G93" s="3"/>
      <c r="J93" s="13"/>
      <c r="K93" s="13"/>
      <c r="L93" s="3" t="s">
        <v>257</v>
      </c>
      <c r="M93" s="3" t="s">
        <v>133</v>
      </c>
      <c r="N93" s="3" t="s">
        <v>65</v>
      </c>
    </row>
    <row r="94" customFormat="false" ht="13.8" hidden="false" customHeight="false" outlineLevel="0" collapsed="false">
      <c r="A94" s="3" t="n">
        <v>93</v>
      </c>
      <c r="B94" s="3" t="s">
        <v>580</v>
      </c>
      <c r="C94" s="3" t="s">
        <v>105</v>
      </c>
      <c r="D94" s="3" t="s">
        <v>61</v>
      </c>
      <c r="E94" s="25" t="s">
        <v>891</v>
      </c>
      <c r="F94" s="3" t="s">
        <v>164</v>
      </c>
      <c r="G94" s="3" t="s">
        <v>63</v>
      </c>
      <c r="J94" s="13" t="n">
        <f aca="false">_xlfn.IFS(F94="","",M94=F94,1,M94&lt;&gt;F94,0)</f>
        <v>0</v>
      </c>
      <c r="K94" s="13" t="n">
        <f aca="false">_xlfn.IFS(G94="","",N94=G94,1,N94&lt;&gt;G94,0)</f>
        <v>0</v>
      </c>
      <c r="L94" s="3"/>
      <c r="M94" s="3" t="s">
        <v>105</v>
      </c>
      <c r="N94" s="3" t="s">
        <v>61</v>
      </c>
    </row>
    <row r="95" customFormat="false" ht="13.8" hidden="false" customHeight="false" outlineLevel="0" collapsed="false">
      <c r="A95" s="3" t="n">
        <v>94</v>
      </c>
      <c r="B95" s="3" t="s">
        <v>355</v>
      </c>
      <c r="C95" s="3" t="s">
        <v>133</v>
      </c>
      <c r="D95" s="3" t="s">
        <v>65</v>
      </c>
      <c r="E95" s="25" t="s">
        <v>891</v>
      </c>
      <c r="F95" s="3" t="s">
        <v>164</v>
      </c>
      <c r="G95" s="3" t="s">
        <v>63</v>
      </c>
      <c r="J95" s="13"/>
      <c r="K95" s="13"/>
      <c r="L95" s="3" t="s">
        <v>257</v>
      </c>
      <c r="M95" s="3" t="s">
        <v>133</v>
      </c>
      <c r="N95" s="3" t="s">
        <v>65</v>
      </c>
    </row>
    <row r="96" customFormat="false" ht="13.8" hidden="false" customHeight="false" outlineLevel="0" collapsed="false">
      <c r="A96" s="3" t="n">
        <v>95</v>
      </c>
      <c r="B96" s="3" t="s">
        <v>274</v>
      </c>
      <c r="C96" s="3" t="s">
        <v>150</v>
      </c>
      <c r="D96" s="3" t="s">
        <v>245</v>
      </c>
      <c r="E96" s="25" t="s">
        <v>891</v>
      </c>
      <c r="F96" s="3" t="s">
        <v>164</v>
      </c>
      <c r="G96" s="3" t="s">
        <v>899</v>
      </c>
      <c r="J96" s="13" t="n">
        <f aca="false">_xlfn.IFS(F96="","",M96=F96,1,M96&lt;&gt;F96,0)</f>
        <v>1</v>
      </c>
      <c r="K96" s="13" t="n">
        <f aca="false">_xlfn.IFS(G96="","",N96=G96,1,N96&lt;&gt;G96,0)</f>
        <v>1</v>
      </c>
      <c r="L96" s="3"/>
      <c r="M96" s="3" t="s">
        <v>164</v>
      </c>
      <c r="N96" s="3" t="s">
        <v>899</v>
      </c>
    </row>
    <row r="97" customFormat="false" ht="13.8" hidden="false" customHeight="false" outlineLevel="0" collapsed="false">
      <c r="A97" s="3" t="n">
        <v>96</v>
      </c>
      <c r="B97" s="3" t="s">
        <v>381</v>
      </c>
      <c r="C97" s="3" t="s">
        <v>105</v>
      </c>
      <c r="D97" s="3" t="s">
        <v>61</v>
      </c>
      <c r="E97" s="25" t="s">
        <v>896</v>
      </c>
      <c r="F97" s="3"/>
      <c r="G97" s="3"/>
      <c r="J97" s="13" t="str">
        <f aca="false">_xlfn.IFS(F97="","",M97=F97,1,M97&lt;&gt;F97,0)</f>
        <v/>
      </c>
      <c r="K97" s="13" t="str">
        <f aca="false">_xlfn.IFS(G97="","",N97=G97,1,N97&lt;&gt;G97,0)</f>
        <v/>
      </c>
      <c r="L97" s="3"/>
      <c r="M97" s="3" t="s">
        <v>105</v>
      </c>
      <c r="N97" s="3" t="s">
        <v>61</v>
      </c>
    </row>
    <row r="98" customFormat="false" ht="13.8" hidden="false" customHeight="false" outlineLevel="0" collapsed="false">
      <c r="A98" s="3" t="n">
        <v>97</v>
      </c>
      <c r="B98" s="3" t="s">
        <v>421</v>
      </c>
      <c r="C98" s="3" t="s">
        <v>105</v>
      </c>
      <c r="D98" s="3" t="s">
        <v>61</v>
      </c>
      <c r="E98" s="25" t="s">
        <v>891</v>
      </c>
      <c r="F98" s="3" t="s">
        <v>164</v>
      </c>
      <c r="G98" s="3" t="s">
        <v>154</v>
      </c>
      <c r="J98" s="13" t="n">
        <f aca="false">_xlfn.IFS(F98="","",M98=F98,1,M98&lt;&gt;F98,0)</f>
        <v>0</v>
      </c>
      <c r="K98" s="13" t="n">
        <f aca="false">_xlfn.IFS(G98="","",N98=G98,1,N98&lt;&gt;G98,0)</f>
        <v>0</v>
      </c>
      <c r="L98" s="3"/>
      <c r="M98" s="3" t="s">
        <v>105</v>
      </c>
      <c r="N98" s="3" t="s">
        <v>61</v>
      </c>
    </row>
    <row r="99" customFormat="false" ht="13.8" hidden="false" customHeight="false" outlineLevel="0" collapsed="false">
      <c r="A99" s="3" t="n">
        <v>98</v>
      </c>
      <c r="B99" s="3" t="s">
        <v>450</v>
      </c>
      <c r="C99" s="3" t="s">
        <v>105</v>
      </c>
      <c r="D99" s="3" t="s">
        <v>77</v>
      </c>
      <c r="E99" s="25" t="s">
        <v>482</v>
      </c>
      <c r="F99" s="3" t="s">
        <v>105</v>
      </c>
      <c r="G99" s="3" t="s">
        <v>61</v>
      </c>
      <c r="J99" s="13" t="n">
        <f aca="false">_xlfn.IFS(F99="","",M99=F99,1,M99&lt;&gt;F99,0)</f>
        <v>1</v>
      </c>
      <c r="K99" s="13" t="n">
        <f aca="false">_xlfn.IFS(G99="","",N99=G99,1,N99&lt;&gt;G99,0)</f>
        <v>0</v>
      </c>
      <c r="L99" s="3"/>
      <c r="M99" s="3" t="s">
        <v>105</v>
      </c>
      <c r="N99" s="3" t="s">
        <v>894</v>
      </c>
    </row>
    <row r="100" customFormat="false" ht="13.8" hidden="false" customHeight="false" outlineLevel="0" collapsed="false">
      <c r="A100" s="3" t="n">
        <v>99</v>
      </c>
      <c r="B100" s="3" t="s">
        <v>275</v>
      </c>
      <c r="C100" s="3" t="s">
        <v>105</v>
      </c>
      <c r="D100" s="3" t="s">
        <v>61</v>
      </c>
      <c r="E100" s="25" t="s">
        <v>482</v>
      </c>
      <c r="F100" s="3" t="s">
        <v>143</v>
      </c>
      <c r="G100" s="3" t="s">
        <v>160</v>
      </c>
      <c r="J100" s="13" t="n">
        <f aca="false">_xlfn.IFS(F100="","",M100=F100,1,M100&lt;&gt;F100,0)</f>
        <v>0</v>
      </c>
      <c r="K100" s="13" t="n">
        <f aca="false">_xlfn.IFS(G100="","",N100=G100,1,N100&lt;&gt;G100,0)</f>
        <v>0</v>
      </c>
      <c r="L100" s="3"/>
      <c r="M100" s="3" t="s">
        <v>105</v>
      </c>
      <c r="N100" s="3" t="s">
        <v>61</v>
      </c>
    </row>
    <row r="101" customFormat="false" ht="13.8" hidden="false" customHeight="false" outlineLevel="0" collapsed="false">
      <c r="A101" s="3" t="n">
        <v>100</v>
      </c>
      <c r="B101" s="3" t="s">
        <v>219</v>
      </c>
      <c r="C101" s="3" t="s">
        <v>143</v>
      </c>
      <c r="D101" s="3" t="s">
        <v>198</v>
      </c>
      <c r="E101" s="25" t="s">
        <v>482</v>
      </c>
      <c r="F101" s="3" t="s">
        <v>81</v>
      </c>
      <c r="G101" s="3"/>
      <c r="J101" s="13"/>
      <c r="K101" s="13"/>
      <c r="L101" s="3" t="s">
        <v>257</v>
      </c>
      <c r="M101" s="3" t="s">
        <v>143</v>
      </c>
      <c r="N101" s="3" t="s">
        <v>198</v>
      </c>
    </row>
    <row r="102" customFormat="false" ht="13.8" hidden="false" customHeight="false" outlineLevel="0" collapsed="false">
      <c r="A102" s="3" t="n">
        <v>101</v>
      </c>
      <c r="B102" s="3" t="s">
        <v>456</v>
      </c>
      <c r="C102" s="3" t="s">
        <v>105</v>
      </c>
      <c r="D102" s="3" t="s">
        <v>61</v>
      </c>
      <c r="E102" s="25" t="s">
        <v>482</v>
      </c>
      <c r="F102" s="3" t="s">
        <v>105</v>
      </c>
      <c r="G102" s="3" t="s">
        <v>61</v>
      </c>
      <c r="J102" s="13" t="n">
        <f aca="false">_xlfn.IFS(F102="","",M102=F102,1,M102&lt;&gt;F102,0)</f>
        <v>1</v>
      </c>
      <c r="K102" s="13" t="n">
        <f aca="false">_xlfn.IFS(G102="","",N102=G102,1,N102&lt;&gt;G102,0)</f>
        <v>1</v>
      </c>
      <c r="L102" s="3"/>
      <c r="M102" s="3" t="s">
        <v>105</v>
      </c>
      <c r="N102" s="3" t="s">
        <v>61</v>
      </c>
    </row>
    <row r="103" customFormat="false" ht="13.8" hidden="false" customHeight="false" outlineLevel="0" collapsed="false">
      <c r="A103" s="3" t="n">
        <v>102</v>
      </c>
      <c r="B103" s="3" t="s">
        <v>457</v>
      </c>
      <c r="C103" s="3" t="s">
        <v>143</v>
      </c>
      <c r="D103" s="3" t="s">
        <v>198</v>
      </c>
      <c r="E103" s="25" t="s">
        <v>891</v>
      </c>
      <c r="F103" s="3" t="s">
        <v>164</v>
      </c>
      <c r="G103" s="3" t="s">
        <v>63</v>
      </c>
      <c r="J103" s="13"/>
      <c r="K103" s="13"/>
      <c r="L103" s="3" t="s">
        <v>257</v>
      </c>
      <c r="M103" s="3" t="s">
        <v>143</v>
      </c>
      <c r="N103" s="3" t="s">
        <v>198</v>
      </c>
    </row>
    <row r="104" customFormat="false" ht="13.8" hidden="false" customHeight="false" outlineLevel="0" collapsed="false">
      <c r="A104" s="3" t="n">
        <v>103</v>
      </c>
      <c r="B104" s="3" t="s">
        <v>220</v>
      </c>
      <c r="C104" s="3" t="s">
        <v>105</v>
      </c>
      <c r="D104" s="3" t="s">
        <v>61</v>
      </c>
      <c r="E104" s="25" t="s">
        <v>891</v>
      </c>
      <c r="F104" s="3" t="s">
        <v>164</v>
      </c>
      <c r="G104" s="3" t="s">
        <v>899</v>
      </c>
      <c r="J104" s="13" t="n">
        <f aca="false">_xlfn.IFS(F104="","",M104=F104,1,M104&lt;&gt;F104,0)</f>
        <v>0</v>
      </c>
      <c r="K104" s="13" t="n">
        <f aca="false">_xlfn.IFS(G104="","",N104=G104,1,N104&lt;&gt;G104,0)</f>
        <v>0</v>
      </c>
      <c r="L104" s="3"/>
      <c r="M104" s="3" t="s">
        <v>105</v>
      </c>
      <c r="N104" s="3" t="s">
        <v>61</v>
      </c>
    </row>
    <row r="105" customFormat="false" ht="13.8" hidden="false" customHeight="false" outlineLevel="0" collapsed="false">
      <c r="A105" s="3" t="n">
        <v>104</v>
      </c>
      <c r="B105" s="3" t="s">
        <v>276</v>
      </c>
      <c r="C105" s="3" t="s">
        <v>105</v>
      </c>
      <c r="D105" s="3" t="s">
        <v>61</v>
      </c>
      <c r="E105" s="25" t="s">
        <v>482</v>
      </c>
      <c r="F105" s="3" t="s">
        <v>105</v>
      </c>
      <c r="G105" s="3" t="s">
        <v>894</v>
      </c>
      <c r="J105" s="13" t="n">
        <f aca="false">_xlfn.IFS(F105="","",M105=F105,1,M105&lt;&gt;F105,0)</f>
        <v>1</v>
      </c>
      <c r="K105" s="13" t="n">
        <f aca="false">_xlfn.IFS(G105="","",N105=G105,1,N105&lt;&gt;G105,0)</f>
        <v>0</v>
      </c>
      <c r="L105" s="3"/>
      <c r="M105" s="3" t="s">
        <v>105</v>
      </c>
      <c r="N105" s="3" t="s">
        <v>61</v>
      </c>
    </row>
    <row r="106" customFormat="false" ht="13.8" hidden="false" customHeight="false" outlineLevel="0" collapsed="false">
      <c r="A106" s="3" t="n">
        <v>105</v>
      </c>
      <c r="B106" s="3" t="s">
        <v>677</v>
      </c>
      <c r="C106" s="3" t="s">
        <v>143</v>
      </c>
      <c r="D106" s="3" t="s">
        <v>351</v>
      </c>
      <c r="E106" s="25" t="s">
        <v>482</v>
      </c>
      <c r="F106" s="3" t="s">
        <v>105</v>
      </c>
      <c r="G106" s="3" t="s">
        <v>61</v>
      </c>
      <c r="J106" s="13"/>
      <c r="K106" s="13"/>
      <c r="L106" s="3" t="s">
        <v>257</v>
      </c>
      <c r="M106" s="3" t="s">
        <v>143</v>
      </c>
      <c r="N106" s="3" t="s">
        <v>351</v>
      </c>
    </row>
    <row r="107" customFormat="false" ht="13.8" hidden="false" customHeight="false" outlineLevel="0" collapsed="false">
      <c r="A107" s="3" t="n">
        <v>106</v>
      </c>
      <c r="B107" s="3" t="s">
        <v>221</v>
      </c>
      <c r="C107" s="3" t="s">
        <v>105</v>
      </c>
      <c r="D107" s="3" t="s">
        <v>61</v>
      </c>
      <c r="E107" s="25" t="s">
        <v>482</v>
      </c>
      <c r="F107" s="3" t="s">
        <v>105</v>
      </c>
      <c r="G107" s="3" t="s">
        <v>55</v>
      </c>
      <c r="J107" s="13" t="n">
        <f aca="false">_xlfn.IFS(F107="","",M107=F107,1,M107&lt;&gt;F107,0)</f>
        <v>1</v>
      </c>
      <c r="K107" s="13" t="n">
        <f aca="false">_xlfn.IFS(G107="","",N107=G107,1,N107&lt;&gt;G107,0)</f>
        <v>0</v>
      </c>
      <c r="L107" s="3"/>
      <c r="M107" s="3" t="s">
        <v>105</v>
      </c>
      <c r="N107" s="3" t="s">
        <v>61</v>
      </c>
    </row>
    <row r="108" customFormat="false" ht="13.8" hidden="false" customHeight="false" outlineLevel="0" collapsed="false">
      <c r="A108" s="3" t="n">
        <v>107</v>
      </c>
      <c r="B108" s="3" t="s">
        <v>661</v>
      </c>
      <c r="C108" s="3" t="s">
        <v>105</v>
      </c>
      <c r="D108" s="3" t="s">
        <v>61</v>
      </c>
      <c r="E108" s="25" t="s">
        <v>482</v>
      </c>
      <c r="F108" s="3" t="s">
        <v>105</v>
      </c>
      <c r="G108" s="3" t="s">
        <v>894</v>
      </c>
      <c r="J108" s="13" t="n">
        <f aca="false">_xlfn.IFS(F108="","",M108=F108,1,M108&lt;&gt;F108,0)</f>
        <v>1</v>
      </c>
      <c r="K108" s="13" t="n">
        <f aca="false">_xlfn.IFS(G108="","",N108=G108,1,N108&lt;&gt;G108,0)</f>
        <v>0</v>
      </c>
      <c r="L108" s="3"/>
      <c r="M108" s="3" t="s">
        <v>105</v>
      </c>
      <c r="N108" s="3" t="s">
        <v>61</v>
      </c>
    </row>
    <row r="109" customFormat="false" ht="13.8" hidden="false" customHeight="false" outlineLevel="0" collapsed="false">
      <c r="A109" s="3" t="n">
        <v>108</v>
      </c>
      <c r="B109" s="3" t="s">
        <v>550</v>
      </c>
      <c r="C109" s="3" t="s">
        <v>133</v>
      </c>
      <c r="D109" s="3" t="s">
        <v>65</v>
      </c>
      <c r="E109" s="25" t="s">
        <v>891</v>
      </c>
      <c r="F109" s="3" t="s">
        <v>164</v>
      </c>
      <c r="G109" s="3" t="s">
        <v>63</v>
      </c>
      <c r="J109" s="13"/>
      <c r="K109" s="13"/>
      <c r="L109" s="3" t="s">
        <v>257</v>
      </c>
      <c r="M109" s="3" t="s">
        <v>133</v>
      </c>
      <c r="N109" s="3" t="s">
        <v>65</v>
      </c>
    </row>
    <row r="110" customFormat="false" ht="13.8" hidden="false" customHeight="false" outlineLevel="0" collapsed="false">
      <c r="A110" s="3" t="n">
        <v>109</v>
      </c>
      <c r="B110" s="3" t="s">
        <v>222</v>
      </c>
      <c r="C110" s="3" t="s">
        <v>150</v>
      </c>
      <c r="D110" s="3" t="s">
        <v>75</v>
      </c>
      <c r="E110" s="25" t="s">
        <v>891</v>
      </c>
      <c r="F110" s="3" t="s">
        <v>164</v>
      </c>
      <c r="G110" s="3" t="s">
        <v>63</v>
      </c>
      <c r="J110" s="13"/>
      <c r="K110" s="13"/>
      <c r="L110" s="3" t="s">
        <v>257</v>
      </c>
      <c r="M110" s="3" t="s">
        <v>164</v>
      </c>
      <c r="N110" s="3" t="s">
        <v>75</v>
      </c>
    </row>
    <row r="111" customFormat="false" ht="13.8" hidden="false" customHeight="false" outlineLevel="0" collapsed="false">
      <c r="A111" s="3" t="n">
        <v>110</v>
      </c>
      <c r="B111" s="3" t="s">
        <v>367</v>
      </c>
      <c r="C111" s="3" t="s">
        <v>105</v>
      </c>
      <c r="D111" s="3" t="s">
        <v>61</v>
      </c>
      <c r="E111" s="25" t="s">
        <v>482</v>
      </c>
      <c r="F111" s="3" t="s">
        <v>105</v>
      </c>
      <c r="G111" s="3" t="s">
        <v>55</v>
      </c>
      <c r="J111" s="13" t="n">
        <f aca="false">_xlfn.IFS(F111="","",M111=F111,1,M111&lt;&gt;F111,0)</f>
        <v>1</v>
      </c>
      <c r="K111" s="13" t="n">
        <f aca="false">_xlfn.IFS(G111="","",N111=G111,1,N111&lt;&gt;G111,0)</f>
        <v>0</v>
      </c>
      <c r="L111" s="3"/>
      <c r="M111" s="3" t="s">
        <v>105</v>
      </c>
      <c r="N111" s="3" t="s">
        <v>61</v>
      </c>
    </row>
    <row r="112" customFormat="false" ht="13.8" hidden="false" customHeight="false" outlineLevel="0" collapsed="false">
      <c r="A112" s="3" t="n">
        <v>111</v>
      </c>
      <c r="B112" s="3" t="s">
        <v>223</v>
      </c>
      <c r="C112" s="3" t="s">
        <v>143</v>
      </c>
      <c r="D112" s="3" t="s">
        <v>198</v>
      </c>
      <c r="E112" s="25" t="s">
        <v>482</v>
      </c>
      <c r="F112" s="3" t="s">
        <v>81</v>
      </c>
      <c r="G112" s="3"/>
      <c r="J112" s="13"/>
      <c r="K112" s="13"/>
      <c r="L112" s="3" t="s">
        <v>257</v>
      </c>
      <c r="M112" s="3" t="s">
        <v>143</v>
      </c>
      <c r="N112" s="3" t="s">
        <v>198</v>
      </c>
    </row>
    <row r="113" customFormat="false" ht="13.8" hidden="false" customHeight="false" outlineLevel="0" collapsed="false">
      <c r="A113" s="3" t="n">
        <v>112</v>
      </c>
      <c r="B113" s="3" t="s">
        <v>395</v>
      </c>
      <c r="C113" s="3" t="s">
        <v>105</v>
      </c>
      <c r="D113" s="3" t="s">
        <v>77</v>
      </c>
      <c r="E113" s="25" t="s">
        <v>482</v>
      </c>
      <c r="F113" s="3" t="s">
        <v>105</v>
      </c>
      <c r="G113" s="3" t="s">
        <v>59</v>
      </c>
      <c r="J113" s="13" t="n">
        <f aca="false">_xlfn.IFS(F113="","",M113=F113,1,M113&lt;&gt;F113,0)</f>
        <v>1</v>
      </c>
      <c r="K113" s="13" t="n">
        <f aca="false">_xlfn.IFS(G113="","",N113=G113,1,N113&lt;&gt;G113,0)</f>
        <v>0</v>
      </c>
      <c r="L113" s="3"/>
      <c r="M113" s="3" t="s">
        <v>105</v>
      </c>
      <c r="N113" s="3" t="s">
        <v>894</v>
      </c>
    </row>
    <row r="114" customFormat="false" ht="13.8" hidden="false" customHeight="false" outlineLevel="0" collapsed="false">
      <c r="A114" s="3" t="n">
        <v>113</v>
      </c>
      <c r="B114" s="3" t="s">
        <v>224</v>
      </c>
      <c r="C114" s="3" t="s">
        <v>143</v>
      </c>
      <c r="D114" s="3" t="s">
        <v>198</v>
      </c>
      <c r="E114" s="25" t="s">
        <v>896</v>
      </c>
      <c r="F114" s="3"/>
      <c r="G114" s="3"/>
      <c r="J114" s="13"/>
      <c r="K114" s="13"/>
      <c r="L114" s="3" t="s">
        <v>257</v>
      </c>
      <c r="M114" s="3" t="s">
        <v>143</v>
      </c>
      <c r="N114" s="3" t="s">
        <v>198</v>
      </c>
    </row>
    <row r="115" customFormat="false" ht="13.8" hidden="false" customHeight="false" outlineLevel="0" collapsed="false">
      <c r="A115" s="3" t="n">
        <v>114</v>
      </c>
      <c r="B115" s="3" t="s">
        <v>478</v>
      </c>
      <c r="C115" s="3" t="s">
        <v>105</v>
      </c>
      <c r="D115" s="3" t="s">
        <v>61</v>
      </c>
      <c r="E115" s="25" t="s">
        <v>482</v>
      </c>
      <c r="F115" s="3" t="s">
        <v>105</v>
      </c>
      <c r="G115" s="3" t="s">
        <v>61</v>
      </c>
      <c r="J115" s="13" t="n">
        <f aca="false">_xlfn.IFS(F115="","",M115=F115,1,M115&lt;&gt;F115,0)</f>
        <v>1</v>
      </c>
      <c r="K115" s="13" t="n">
        <f aca="false">_xlfn.IFS(G115="","",N115=G115,1,N115&lt;&gt;G115,0)</f>
        <v>1</v>
      </c>
      <c r="L115" s="3"/>
      <c r="M115" s="3" t="s">
        <v>105</v>
      </c>
      <c r="N115" s="3" t="s">
        <v>61</v>
      </c>
    </row>
    <row r="116" customFormat="false" ht="13.8" hidden="false" customHeight="false" outlineLevel="0" collapsed="false">
      <c r="A116" s="3" t="n">
        <v>115</v>
      </c>
      <c r="B116" s="3" t="s">
        <v>225</v>
      </c>
      <c r="C116" s="3" t="s">
        <v>143</v>
      </c>
      <c r="D116" s="3" t="s">
        <v>198</v>
      </c>
      <c r="E116" s="25" t="s">
        <v>482</v>
      </c>
      <c r="F116" s="3" t="s">
        <v>143</v>
      </c>
      <c r="G116" s="3" t="s">
        <v>160</v>
      </c>
      <c r="J116" s="13"/>
      <c r="K116" s="13"/>
      <c r="L116" s="3" t="s">
        <v>257</v>
      </c>
      <c r="M116" s="3" t="s">
        <v>143</v>
      </c>
      <c r="N116" s="3" t="s">
        <v>198</v>
      </c>
    </row>
    <row r="117" customFormat="false" ht="13.8" hidden="false" customHeight="false" outlineLevel="0" collapsed="false">
      <c r="A117" s="3" t="n">
        <v>116</v>
      </c>
      <c r="B117" s="3" t="s">
        <v>746</v>
      </c>
      <c r="C117" s="3" t="s">
        <v>143</v>
      </c>
      <c r="D117" s="3" t="s">
        <v>288</v>
      </c>
      <c r="E117" s="25" t="s">
        <v>896</v>
      </c>
      <c r="F117" s="3"/>
      <c r="G117" s="3"/>
      <c r="J117" s="13"/>
      <c r="K117" s="13"/>
      <c r="L117" s="3" t="s">
        <v>257</v>
      </c>
      <c r="M117" s="3" t="s">
        <v>143</v>
      </c>
      <c r="N117" s="3" t="s">
        <v>288</v>
      </c>
    </row>
    <row r="118" customFormat="false" ht="13.8" hidden="false" customHeight="false" outlineLevel="0" collapsed="false">
      <c r="A118" s="3" t="n">
        <v>117</v>
      </c>
      <c r="B118" s="3" t="s">
        <v>226</v>
      </c>
      <c r="C118" s="3" t="s">
        <v>143</v>
      </c>
      <c r="D118" s="3" t="s">
        <v>198</v>
      </c>
      <c r="E118" s="25" t="s">
        <v>482</v>
      </c>
      <c r="F118" s="3" t="s">
        <v>143</v>
      </c>
      <c r="G118" s="3" t="s">
        <v>160</v>
      </c>
      <c r="J118" s="13"/>
      <c r="K118" s="13"/>
      <c r="L118" s="3" t="s">
        <v>257</v>
      </c>
      <c r="M118" s="3" t="s">
        <v>143</v>
      </c>
      <c r="N118" s="3" t="s">
        <v>198</v>
      </c>
    </row>
    <row r="119" customFormat="false" ht="13.8" hidden="false" customHeight="false" outlineLevel="0" collapsed="false">
      <c r="A119" s="3" t="n">
        <v>118</v>
      </c>
      <c r="B119" s="3" t="s">
        <v>311</v>
      </c>
      <c r="C119" s="3" t="s">
        <v>105</v>
      </c>
      <c r="D119" s="3" t="s">
        <v>61</v>
      </c>
      <c r="E119" s="25" t="s">
        <v>891</v>
      </c>
      <c r="F119" s="3" t="s">
        <v>164</v>
      </c>
      <c r="G119" s="3" t="s">
        <v>899</v>
      </c>
      <c r="J119" s="13" t="n">
        <f aca="false">_xlfn.IFS(F119="","",M119=F119,1,M119&lt;&gt;F119,0)</f>
        <v>0</v>
      </c>
      <c r="K119" s="13" t="n">
        <f aca="false">_xlfn.IFS(G119="","",N119=G119,1,N119&lt;&gt;G119,0)</f>
        <v>0</v>
      </c>
      <c r="L119" s="3"/>
      <c r="M119" s="3" t="s">
        <v>105</v>
      </c>
      <c r="N119" s="3" t="s">
        <v>61</v>
      </c>
    </row>
    <row r="120" customFormat="false" ht="13.8" hidden="false" customHeight="false" outlineLevel="0" collapsed="false">
      <c r="A120" s="3" t="n">
        <v>119</v>
      </c>
      <c r="B120" s="3" t="s">
        <v>619</v>
      </c>
      <c r="C120" s="3" t="s">
        <v>143</v>
      </c>
      <c r="D120" s="3" t="s">
        <v>198</v>
      </c>
      <c r="E120" s="25" t="s">
        <v>896</v>
      </c>
      <c r="F120" s="3"/>
      <c r="G120" s="3"/>
      <c r="J120" s="13"/>
      <c r="K120" s="13"/>
      <c r="L120" s="3" t="s">
        <v>257</v>
      </c>
      <c r="M120" s="3" t="s">
        <v>143</v>
      </c>
      <c r="N120" s="3" t="s">
        <v>198</v>
      </c>
    </row>
    <row r="121" customFormat="false" ht="13.8" hidden="false" customHeight="false" outlineLevel="0" collapsed="false">
      <c r="A121" s="3" t="n">
        <v>120</v>
      </c>
      <c r="B121" s="3" t="s">
        <v>312</v>
      </c>
      <c r="C121" s="3" t="s">
        <v>105</v>
      </c>
      <c r="D121" s="3" t="s">
        <v>61</v>
      </c>
      <c r="E121" s="25" t="s">
        <v>896</v>
      </c>
      <c r="F121" s="3"/>
      <c r="G121" s="3"/>
      <c r="J121" s="13" t="str">
        <f aca="false">_xlfn.IFS(F121="","",M121=F121,1,M121&lt;&gt;F121,0)</f>
        <v/>
      </c>
      <c r="K121" s="13" t="str">
        <f aca="false">_xlfn.IFS(G121="","",N121=G121,1,N121&lt;&gt;G121,0)</f>
        <v/>
      </c>
      <c r="L121" s="3"/>
      <c r="M121" s="3" t="s">
        <v>105</v>
      </c>
      <c r="N121" s="3" t="s">
        <v>61</v>
      </c>
    </row>
    <row r="122" customFormat="false" ht="13.8" hidden="false" customHeight="false" outlineLevel="0" collapsed="false">
      <c r="A122" s="3" t="n">
        <v>121</v>
      </c>
      <c r="B122" s="3" t="s">
        <v>227</v>
      </c>
      <c r="C122" s="3" t="s">
        <v>105</v>
      </c>
      <c r="D122" s="3" t="s">
        <v>61</v>
      </c>
      <c r="E122" s="25" t="s">
        <v>482</v>
      </c>
      <c r="F122" s="3" t="s">
        <v>143</v>
      </c>
      <c r="G122" s="3" t="s">
        <v>160</v>
      </c>
      <c r="J122" s="13" t="n">
        <f aca="false">_xlfn.IFS(F122="","",M122=F122,1,M122&lt;&gt;F122,0)</f>
        <v>0</v>
      </c>
      <c r="K122" s="13" t="n">
        <f aca="false">_xlfn.IFS(G122="","",N122=G122,1,N122&lt;&gt;G122,0)</f>
        <v>0</v>
      </c>
      <c r="L122" s="3"/>
      <c r="M122" s="3" t="s">
        <v>105</v>
      </c>
      <c r="N122" s="3" t="s">
        <v>61</v>
      </c>
    </row>
    <row r="123" customFormat="false" ht="13.8" hidden="false" customHeight="false" outlineLevel="0" collapsed="false">
      <c r="A123" s="3" t="n">
        <v>122</v>
      </c>
      <c r="B123" s="3" t="s">
        <v>228</v>
      </c>
      <c r="C123" s="3" t="s">
        <v>105</v>
      </c>
      <c r="D123" s="3" t="s">
        <v>61</v>
      </c>
      <c r="E123" s="25" t="s">
        <v>482</v>
      </c>
      <c r="F123" s="3" t="s">
        <v>105</v>
      </c>
      <c r="G123" s="3" t="s">
        <v>894</v>
      </c>
      <c r="J123" s="13" t="n">
        <f aca="false">_xlfn.IFS(F123="","",M123=F123,1,M123&lt;&gt;F123,0)</f>
        <v>1</v>
      </c>
      <c r="K123" s="13" t="n">
        <f aca="false">_xlfn.IFS(G123="","",N123=G123,1,N123&lt;&gt;G123,0)</f>
        <v>0</v>
      </c>
      <c r="L123" s="3"/>
      <c r="M123" s="3" t="s">
        <v>105</v>
      </c>
      <c r="N123" s="3" t="s">
        <v>61</v>
      </c>
    </row>
    <row r="124" customFormat="false" ht="13.8" hidden="false" customHeight="false" outlineLevel="0" collapsed="false">
      <c r="A124" s="3" t="n">
        <v>123</v>
      </c>
      <c r="B124" s="3" t="s">
        <v>576</v>
      </c>
      <c r="C124" s="3" t="s">
        <v>105</v>
      </c>
      <c r="D124" s="3" t="s">
        <v>61</v>
      </c>
      <c r="E124" s="25" t="s">
        <v>891</v>
      </c>
      <c r="F124" s="3" t="s">
        <v>164</v>
      </c>
      <c r="G124" s="3" t="s">
        <v>154</v>
      </c>
      <c r="J124" s="13" t="n">
        <f aca="false">_xlfn.IFS(F124="","",M124=F124,1,M124&lt;&gt;F124,0)</f>
        <v>0</v>
      </c>
      <c r="K124" s="13" t="n">
        <f aca="false">_xlfn.IFS(G124="","",N124=G124,1,N124&lt;&gt;G124,0)</f>
        <v>0</v>
      </c>
      <c r="L124" s="3"/>
      <c r="M124" s="3" t="s">
        <v>105</v>
      </c>
      <c r="N124" s="3" t="s">
        <v>61</v>
      </c>
    </row>
    <row r="125" customFormat="false" ht="13.8" hidden="false" customHeight="false" outlineLevel="0" collapsed="false">
      <c r="A125" s="3" t="n">
        <v>124</v>
      </c>
      <c r="B125" s="3" t="s">
        <v>527</v>
      </c>
      <c r="C125" s="3" t="s">
        <v>143</v>
      </c>
      <c r="D125" s="3" t="s">
        <v>198</v>
      </c>
      <c r="E125" s="25" t="s">
        <v>482</v>
      </c>
      <c r="F125" s="3" t="s">
        <v>105</v>
      </c>
      <c r="G125" s="3" t="s">
        <v>61</v>
      </c>
      <c r="J125" s="13"/>
      <c r="K125" s="13"/>
      <c r="L125" s="3" t="s">
        <v>257</v>
      </c>
      <c r="M125" s="3" t="s">
        <v>143</v>
      </c>
      <c r="N125" s="3" t="s">
        <v>198</v>
      </c>
    </row>
    <row r="126" customFormat="false" ht="13.8" hidden="false" customHeight="false" outlineLevel="0" collapsed="false">
      <c r="A126" s="3" t="n">
        <v>125</v>
      </c>
      <c r="B126" s="3" t="s">
        <v>277</v>
      </c>
      <c r="C126" s="3" t="s">
        <v>105</v>
      </c>
      <c r="D126" s="3" t="s">
        <v>61</v>
      </c>
      <c r="E126" s="25" t="s">
        <v>482</v>
      </c>
      <c r="F126" s="3" t="s">
        <v>105</v>
      </c>
      <c r="G126" s="3" t="s">
        <v>61</v>
      </c>
      <c r="J126" s="13" t="n">
        <f aca="false">_xlfn.IFS(F126="","",M126=F126,1,M126&lt;&gt;F126,0)</f>
        <v>1</v>
      </c>
      <c r="K126" s="13" t="n">
        <f aca="false">_xlfn.IFS(G126="","",N126=G126,1,N126&lt;&gt;G126,0)</f>
        <v>1</v>
      </c>
      <c r="L126" s="3"/>
      <c r="M126" s="3" t="s">
        <v>105</v>
      </c>
      <c r="N126" s="3" t="s">
        <v>61</v>
      </c>
    </row>
    <row r="127" customFormat="false" ht="13.8" hidden="false" customHeight="false" outlineLevel="0" collapsed="false">
      <c r="A127" s="3" t="n">
        <v>126</v>
      </c>
      <c r="B127" s="3" t="s">
        <v>743</v>
      </c>
      <c r="C127" s="3" t="s">
        <v>105</v>
      </c>
      <c r="D127" s="3" t="s">
        <v>61</v>
      </c>
      <c r="E127" s="25" t="s">
        <v>896</v>
      </c>
      <c r="F127" s="3"/>
      <c r="G127" s="3"/>
      <c r="J127" s="13" t="str">
        <f aca="false">_xlfn.IFS(F127="","",M127=F127,1,M127&lt;&gt;F127,0)</f>
        <v/>
      </c>
      <c r="K127" s="13" t="str">
        <f aca="false">_xlfn.IFS(G127="","",N127=G127,1,N127&lt;&gt;G127,0)</f>
        <v/>
      </c>
      <c r="L127" s="3"/>
      <c r="M127" s="3" t="s">
        <v>105</v>
      </c>
      <c r="N127" s="3" t="s">
        <v>61</v>
      </c>
    </row>
    <row r="128" customFormat="false" ht="13.8" hidden="false" customHeight="false" outlineLevel="0" collapsed="false">
      <c r="A128" s="3" t="n">
        <v>127</v>
      </c>
      <c r="B128" s="3" t="s">
        <v>278</v>
      </c>
      <c r="C128" s="3" t="s">
        <v>105</v>
      </c>
      <c r="D128" s="3" t="s">
        <v>61</v>
      </c>
      <c r="E128" s="25" t="s">
        <v>482</v>
      </c>
      <c r="F128" s="3" t="s">
        <v>105</v>
      </c>
      <c r="G128" s="3" t="s">
        <v>894</v>
      </c>
      <c r="J128" s="13" t="n">
        <f aca="false">_xlfn.IFS(F128="","",M128=F128,1,M128&lt;&gt;F128,0)</f>
        <v>1</v>
      </c>
      <c r="K128" s="13" t="n">
        <f aca="false">_xlfn.IFS(G128="","",N128=G128,1,N128&lt;&gt;G128,0)</f>
        <v>0</v>
      </c>
      <c r="L128" s="3"/>
      <c r="M128" s="3" t="s">
        <v>105</v>
      </c>
      <c r="N128" s="3" t="s">
        <v>61</v>
      </c>
    </row>
    <row r="129" customFormat="false" ht="13.8" hidden="false" customHeight="false" outlineLevel="0" collapsed="false">
      <c r="A129" s="3" t="n">
        <v>128</v>
      </c>
      <c r="B129" s="3" t="s">
        <v>672</v>
      </c>
      <c r="C129" s="3" t="s">
        <v>143</v>
      </c>
      <c r="D129" s="3" t="s">
        <v>351</v>
      </c>
      <c r="E129" s="25" t="s">
        <v>482</v>
      </c>
      <c r="F129" s="3" t="s">
        <v>105</v>
      </c>
      <c r="G129" s="3" t="s">
        <v>61</v>
      </c>
      <c r="J129" s="13"/>
      <c r="K129" s="13"/>
      <c r="L129" s="3" t="s">
        <v>257</v>
      </c>
      <c r="M129" s="3" t="s">
        <v>143</v>
      </c>
      <c r="N129" s="3" t="s">
        <v>351</v>
      </c>
    </row>
    <row r="130" customFormat="false" ht="13.8" hidden="false" customHeight="false" outlineLevel="0" collapsed="false">
      <c r="A130" s="3" t="n">
        <v>129</v>
      </c>
      <c r="B130" s="3" t="s">
        <v>229</v>
      </c>
      <c r="C130" s="3" t="s">
        <v>105</v>
      </c>
      <c r="D130" s="3" t="s">
        <v>61</v>
      </c>
      <c r="E130" s="25" t="s">
        <v>891</v>
      </c>
      <c r="F130" s="3" t="s">
        <v>164</v>
      </c>
      <c r="G130" s="3" t="s">
        <v>154</v>
      </c>
      <c r="J130" s="13" t="n">
        <f aca="false">_xlfn.IFS(F130="","",M130=F130,1,M130&lt;&gt;F130,0)</f>
        <v>0</v>
      </c>
      <c r="K130" s="13" t="n">
        <f aca="false">_xlfn.IFS(G130="","",N130=G130,1,N130&lt;&gt;G130,0)</f>
        <v>0</v>
      </c>
      <c r="L130" s="3"/>
      <c r="M130" s="3" t="s">
        <v>105</v>
      </c>
      <c r="N130" s="3" t="s">
        <v>61</v>
      </c>
    </row>
    <row r="131" customFormat="false" ht="13.8" hidden="false" customHeight="false" outlineLevel="0" collapsed="false">
      <c r="A131" s="3" t="n">
        <v>130</v>
      </c>
      <c r="B131" s="3" t="s">
        <v>313</v>
      </c>
      <c r="C131" s="3" t="s">
        <v>105</v>
      </c>
      <c r="D131" s="3" t="s">
        <v>61</v>
      </c>
      <c r="E131" s="25" t="s">
        <v>891</v>
      </c>
      <c r="F131" s="3" t="s">
        <v>164</v>
      </c>
      <c r="G131" s="3" t="s">
        <v>884</v>
      </c>
      <c r="J131" s="13" t="n">
        <f aca="false">_xlfn.IFS(F131="","",M131=F131,1,M131&lt;&gt;F131,0)</f>
        <v>0</v>
      </c>
      <c r="K131" s="13" t="n">
        <f aca="false">_xlfn.IFS(G131="","",N131=G131,1,N131&lt;&gt;G131,0)</f>
        <v>0</v>
      </c>
      <c r="L131" s="3"/>
      <c r="M131" s="3" t="s">
        <v>105</v>
      </c>
      <c r="N131" s="3" t="s">
        <v>61</v>
      </c>
    </row>
    <row r="132" customFormat="false" ht="13.8" hidden="false" customHeight="false" outlineLevel="0" collapsed="false">
      <c r="A132" s="3" t="n">
        <v>131</v>
      </c>
      <c r="B132" s="3" t="s">
        <v>787</v>
      </c>
      <c r="C132" s="3" t="s">
        <v>143</v>
      </c>
      <c r="D132" s="3" t="s">
        <v>589</v>
      </c>
      <c r="E132" s="25" t="s">
        <v>896</v>
      </c>
      <c r="F132" s="3"/>
      <c r="G132" s="3"/>
      <c r="J132" s="13" t="str">
        <f aca="false">_xlfn.IFS(F132="","",M132=F132,1,M132&lt;&gt;F132,0)</f>
        <v/>
      </c>
      <c r="K132" s="13" t="str">
        <f aca="false">_xlfn.IFS(G132="","",N132=G132,1,N132&lt;&gt;G132,0)</f>
        <v/>
      </c>
      <c r="L132" s="3"/>
      <c r="M132" s="3" t="s">
        <v>143</v>
      </c>
      <c r="N132" s="3" t="s">
        <v>589</v>
      </c>
    </row>
    <row r="133" customFormat="false" ht="13.8" hidden="false" customHeight="false" outlineLevel="0" collapsed="false">
      <c r="A133" s="3" t="n">
        <v>132</v>
      </c>
      <c r="B133" s="3" t="s">
        <v>740</v>
      </c>
      <c r="C133" s="3" t="s">
        <v>105</v>
      </c>
      <c r="D133" s="3" t="s">
        <v>61</v>
      </c>
      <c r="E133" s="25" t="s">
        <v>891</v>
      </c>
      <c r="F133" s="3" t="s">
        <v>164</v>
      </c>
      <c r="G133" s="3" t="s">
        <v>154</v>
      </c>
      <c r="J133" s="13" t="n">
        <f aca="false">_xlfn.IFS(F133="","",M133=F133,1,M133&lt;&gt;F133,0)</f>
        <v>0</v>
      </c>
      <c r="K133" s="13" t="n">
        <f aca="false">_xlfn.IFS(G133="","",N133=G133,1,N133&lt;&gt;G133,0)</f>
        <v>0</v>
      </c>
      <c r="L133" s="3"/>
      <c r="M133" s="3" t="s">
        <v>105</v>
      </c>
      <c r="N133" s="3" t="s">
        <v>61</v>
      </c>
    </row>
    <row r="134" customFormat="false" ht="13.8" hidden="false" customHeight="false" outlineLevel="0" collapsed="false">
      <c r="A134" s="3" t="n">
        <v>133</v>
      </c>
      <c r="B134" s="3" t="s">
        <v>523</v>
      </c>
      <c r="C134" s="3" t="s">
        <v>105</v>
      </c>
      <c r="D134" s="3" t="s">
        <v>61</v>
      </c>
      <c r="E134" s="25" t="s">
        <v>482</v>
      </c>
      <c r="F134" s="3" t="s">
        <v>105</v>
      </c>
      <c r="G134" s="3" t="s">
        <v>61</v>
      </c>
      <c r="J134" s="13" t="n">
        <f aca="false">_xlfn.IFS(F134="","",M134=F134,1,M134&lt;&gt;F134,0)</f>
        <v>1</v>
      </c>
      <c r="K134" s="13" t="n">
        <f aca="false">_xlfn.IFS(G134="","",N134=G134,1,N134&lt;&gt;G134,0)</f>
        <v>1</v>
      </c>
      <c r="L134" s="3"/>
      <c r="M134" s="3" t="s">
        <v>105</v>
      </c>
      <c r="N134" s="3" t="s">
        <v>61</v>
      </c>
    </row>
    <row r="135" customFormat="false" ht="13.8" hidden="false" customHeight="false" outlineLevel="0" collapsed="false">
      <c r="A135" s="3" t="n">
        <v>134</v>
      </c>
      <c r="B135" s="3" t="s">
        <v>230</v>
      </c>
      <c r="C135" s="3" t="s">
        <v>105</v>
      </c>
      <c r="D135" s="3" t="s">
        <v>61</v>
      </c>
      <c r="E135" s="25" t="s">
        <v>891</v>
      </c>
      <c r="F135" s="3" t="s">
        <v>164</v>
      </c>
      <c r="G135" s="3" t="s">
        <v>884</v>
      </c>
      <c r="J135" s="13" t="n">
        <f aca="false">_xlfn.IFS(F135="","",M135=F135,1,M135&lt;&gt;F135,0)</f>
        <v>0</v>
      </c>
      <c r="K135" s="13" t="n">
        <f aca="false">_xlfn.IFS(G135="","",N135=G135,1,N135&lt;&gt;G135,0)</f>
        <v>0</v>
      </c>
      <c r="L135" s="3"/>
      <c r="M135" s="3" t="s">
        <v>105</v>
      </c>
      <c r="N135" s="3" t="s">
        <v>61</v>
      </c>
    </row>
    <row r="136" customFormat="false" ht="13.8" hidden="false" customHeight="false" outlineLevel="0" collapsed="false">
      <c r="A136" s="3" t="n">
        <v>135</v>
      </c>
      <c r="B136" s="3" t="s">
        <v>231</v>
      </c>
      <c r="C136" s="3" t="s">
        <v>105</v>
      </c>
      <c r="D136" s="3" t="s">
        <v>61</v>
      </c>
      <c r="E136" s="25" t="s">
        <v>482</v>
      </c>
      <c r="F136" s="3" t="s">
        <v>105</v>
      </c>
      <c r="G136" s="3" t="s">
        <v>894</v>
      </c>
      <c r="J136" s="13" t="n">
        <f aca="false">_xlfn.IFS(F136="","",M136=F136,1,M136&lt;&gt;F136,0)</f>
        <v>1</v>
      </c>
      <c r="K136" s="13" t="n">
        <f aca="false">_xlfn.IFS(G136="","",N136=G136,1,N136&lt;&gt;G136,0)</f>
        <v>0</v>
      </c>
      <c r="L136" s="3"/>
      <c r="M136" s="3" t="s">
        <v>105</v>
      </c>
      <c r="N136" s="3" t="s">
        <v>61</v>
      </c>
    </row>
    <row r="137" customFormat="false" ht="13.8" hidden="false" customHeight="false" outlineLevel="0" collapsed="false">
      <c r="A137" s="3" t="n">
        <v>136</v>
      </c>
      <c r="B137" s="3" t="s">
        <v>669</v>
      </c>
      <c r="C137" s="3" t="s">
        <v>105</v>
      </c>
      <c r="D137" s="3" t="s">
        <v>61</v>
      </c>
      <c r="E137" s="25" t="s">
        <v>482</v>
      </c>
      <c r="F137" s="3" t="s">
        <v>105</v>
      </c>
      <c r="G137" s="3" t="s">
        <v>61</v>
      </c>
      <c r="J137" s="13" t="n">
        <f aca="false">_xlfn.IFS(F137="","",M137=F137,1,M137&lt;&gt;F137,0)</f>
        <v>1</v>
      </c>
      <c r="K137" s="13" t="n">
        <f aca="false">_xlfn.IFS(G137="","",N137=G137,1,N137&lt;&gt;G137,0)</f>
        <v>1</v>
      </c>
      <c r="L137" s="3"/>
      <c r="M137" s="3" t="s">
        <v>105</v>
      </c>
      <c r="N137" s="3" t="s">
        <v>61</v>
      </c>
    </row>
    <row r="138" customFormat="false" ht="13.8" hidden="false" customHeight="false" outlineLevel="0" collapsed="false">
      <c r="A138" s="3" t="n">
        <v>137</v>
      </c>
      <c r="B138" s="3" t="s">
        <v>788</v>
      </c>
      <c r="C138" s="3" t="s">
        <v>105</v>
      </c>
      <c r="D138" s="3" t="s">
        <v>61</v>
      </c>
      <c r="E138" s="25" t="s">
        <v>896</v>
      </c>
      <c r="F138" s="3"/>
      <c r="G138" s="3"/>
      <c r="J138" s="13" t="str">
        <f aca="false">_xlfn.IFS(F138="","",M138=F138,1,M138&lt;&gt;F138,0)</f>
        <v/>
      </c>
      <c r="K138" s="13" t="str">
        <f aca="false">_xlfn.IFS(G138="","",N138=G138,1,N138&lt;&gt;G138,0)</f>
        <v/>
      </c>
      <c r="L138" s="3"/>
      <c r="M138" s="3" t="s">
        <v>105</v>
      </c>
      <c r="N138" s="3" t="s">
        <v>61</v>
      </c>
    </row>
    <row r="139" customFormat="false" ht="13.8" hidden="false" customHeight="false" outlineLevel="0" collapsed="false">
      <c r="A139" s="3" t="n">
        <v>138</v>
      </c>
      <c r="B139" s="3" t="s">
        <v>314</v>
      </c>
      <c r="C139" s="3" t="s">
        <v>143</v>
      </c>
      <c r="D139" s="3" t="s">
        <v>198</v>
      </c>
      <c r="E139" s="25" t="s">
        <v>482</v>
      </c>
      <c r="F139" s="3" t="s">
        <v>81</v>
      </c>
      <c r="G139" s="3"/>
      <c r="J139" s="13"/>
      <c r="K139" s="13"/>
      <c r="L139" s="3" t="s">
        <v>257</v>
      </c>
      <c r="M139" s="3" t="s">
        <v>143</v>
      </c>
      <c r="N139" s="3" t="s">
        <v>198</v>
      </c>
    </row>
    <row r="140" customFormat="false" ht="13.8" hidden="false" customHeight="false" outlineLevel="0" collapsed="false">
      <c r="A140" s="3" t="n">
        <v>139</v>
      </c>
      <c r="B140" s="3" t="s">
        <v>637</v>
      </c>
      <c r="C140" s="3" t="s">
        <v>105</v>
      </c>
      <c r="D140" s="3" t="s">
        <v>61</v>
      </c>
      <c r="E140" s="25" t="s">
        <v>891</v>
      </c>
      <c r="F140" s="3" t="s">
        <v>164</v>
      </c>
      <c r="G140" s="3" t="s">
        <v>154</v>
      </c>
      <c r="J140" s="13" t="n">
        <f aca="false">_xlfn.IFS(F140="","",M140=F140,1,M140&lt;&gt;F140,0)</f>
        <v>0</v>
      </c>
      <c r="K140" s="13" t="n">
        <f aca="false">_xlfn.IFS(G140="","",N140=G140,1,N140&lt;&gt;G140,0)</f>
        <v>0</v>
      </c>
      <c r="L140" s="3"/>
      <c r="M140" s="3" t="s">
        <v>105</v>
      </c>
      <c r="N140" s="3" t="s">
        <v>61</v>
      </c>
    </row>
    <row r="141" customFormat="false" ht="13.8" hidden="false" customHeight="false" outlineLevel="0" collapsed="false">
      <c r="A141" s="3" t="n">
        <v>140</v>
      </c>
      <c r="B141" s="3" t="s">
        <v>708</v>
      </c>
      <c r="C141" s="3" t="s">
        <v>143</v>
      </c>
      <c r="D141" s="3" t="s">
        <v>198</v>
      </c>
      <c r="E141" s="25" t="s">
        <v>896</v>
      </c>
      <c r="F141" s="3"/>
      <c r="G141" s="3"/>
      <c r="J141" s="13"/>
      <c r="K141" s="13"/>
      <c r="L141" s="3" t="s">
        <v>257</v>
      </c>
      <c r="M141" s="3" t="s">
        <v>143</v>
      </c>
      <c r="N141" s="3" t="s">
        <v>198</v>
      </c>
    </row>
    <row r="142" customFormat="false" ht="13.8" hidden="false" customHeight="false" outlineLevel="0" collapsed="false">
      <c r="A142" s="3" t="n">
        <v>141</v>
      </c>
      <c r="B142" s="3" t="s">
        <v>122</v>
      </c>
      <c r="C142" s="3" t="s">
        <v>105</v>
      </c>
      <c r="D142" s="3" t="s">
        <v>61</v>
      </c>
      <c r="E142" s="25" t="s">
        <v>482</v>
      </c>
      <c r="F142" s="3" t="s">
        <v>105</v>
      </c>
      <c r="G142" s="3" t="s">
        <v>894</v>
      </c>
      <c r="J142" s="13" t="n">
        <f aca="false">_xlfn.IFS(F142="","",M142=F142,1,M142&lt;&gt;F142,0)</f>
        <v>1</v>
      </c>
      <c r="K142" s="13" t="n">
        <f aca="false">_xlfn.IFS(G142="","",N142=G142,1,N142&lt;&gt;G142,0)</f>
        <v>0</v>
      </c>
      <c r="L142" s="3"/>
      <c r="M142" s="3" t="s">
        <v>105</v>
      </c>
      <c r="N142" s="3" t="s">
        <v>61</v>
      </c>
    </row>
    <row r="143" customFormat="false" ht="13.8" hidden="false" customHeight="false" outlineLevel="0" collapsed="false">
      <c r="A143" s="3" t="n">
        <v>142</v>
      </c>
      <c r="B143" s="3" t="s">
        <v>232</v>
      </c>
      <c r="C143" s="3" t="s">
        <v>143</v>
      </c>
      <c r="D143" s="3" t="s">
        <v>198</v>
      </c>
      <c r="E143" s="25" t="s">
        <v>896</v>
      </c>
      <c r="F143" s="3"/>
      <c r="G143" s="3"/>
      <c r="J143" s="13"/>
      <c r="K143" s="13"/>
      <c r="L143" s="3" t="s">
        <v>257</v>
      </c>
      <c r="M143" s="3" t="s">
        <v>143</v>
      </c>
      <c r="N143" s="3" t="s">
        <v>198</v>
      </c>
    </row>
    <row r="144" customFormat="false" ht="13.8" hidden="false" customHeight="false" outlineLevel="0" collapsed="false">
      <c r="A144" s="3" t="n">
        <v>143</v>
      </c>
      <c r="B144" s="3" t="s">
        <v>729</v>
      </c>
      <c r="C144" s="3" t="s">
        <v>105</v>
      </c>
      <c r="D144" s="3" t="s">
        <v>61</v>
      </c>
      <c r="E144" s="25" t="s">
        <v>891</v>
      </c>
      <c r="F144" s="3" t="s">
        <v>164</v>
      </c>
      <c r="G144" s="3" t="s">
        <v>899</v>
      </c>
      <c r="J144" s="13" t="n">
        <f aca="false">_xlfn.IFS(F144="","",M144=F144,1,M144&lt;&gt;F144,0)</f>
        <v>0</v>
      </c>
      <c r="K144" s="13" t="n">
        <f aca="false">_xlfn.IFS(G144="","",N144=G144,1,N144&lt;&gt;G144,0)</f>
        <v>0</v>
      </c>
      <c r="L144" s="3"/>
      <c r="M144" s="3" t="s">
        <v>105</v>
      </c>
      <c r="N144" s="3" t="s">
        <v>61</v>
      </c>
    </row>
    <row r="145" customFormat="false" ht="13.8" hidden="false" customHeight="false" outlineLevel="0" collapsed="false">
      <c r="A145" s="3" t="n">
        <v>144</v>
      </c>
      <c r="B145" s="3" t="s">
        <v>857</v>
      </c>
      <c r="C145" s="3" t="s">
        <v>150</v>
      </c>
      <c r="D145" s="3" t="s">
        <v>245</v>
      </c>
      <c r="E145" s="25" t="s">
        <v>891</v>
      </c>
      <c r="F145" s="3" t="s">
        <v>164</v>
      </c>
      <c r="G145" s="3" t="s">
        <v>63</v>
      </c>
      <c r="J145" s="13" t="n">
        <f aca="false">_xlfn.IFS(F145="","",M145=F145,1,M145&lt;&gt;F145,0)</f>
        <v>1</v>
      </c>
      <c r="K145" s="13" t="n">
        <f aca="false">_xlfn.IFS(G145="","",N145=G145,1,N145&lt;&gt;G145,0)</f>
        <v>0</v>
      </c>
      <c r="L145" s="3"/>
      <c r="M145" s="3" t="s">
        <v>164</v>
      </c>
      <c r="N145" s="3" t="s">
        <v>899</v>
      </c>
    </row>
    <row r="146" customFormat="false" ht="13.8" hidden="false" customHeight="false" outlineLevel="0" collapsed="false">
      <c r="A146" s="3" t="n">
        <v>145</v>
      </c>
      <c r="B146" s="3" t="s">
        <v>640</v>
      </c>
      <c r="C146" s="3" t="s">
        <v>143</v>
      </c>
      <c r="D146" s="3" t="s">
        <v>198</v>
      </c>
      <c r="E146" s="25" t="s">
        <v>896</v>
      </c>
      <c r="F146" s="3"/>
      <c r="G146" s="3"/>
      <c r="J146" s="13"/>
      <c r="K146" s="13"/>
      <c r="L146" s="3" t="s">
        <v>257</v>
      </c>
      <c r="M146" s="3" t="s">
        <v>143</v>
      </c>
      <c r="N146" s="3" t="s">
        <v>198</v>
      </c>
    </row>
    <row r="147" customFormat="false" ht="13.8" hidden="false" customHeight="false" outlineLevel="0" collapsed="false">
      <c r="A147" s="3" t="n">
        <v>146</v>
      </c>
      <c r="B147" s="3" t="s">
        <v>472</v>
      </c>
      <c r="C147" s="3" t="s">
        <v>143</v>
      </c>
      <c r="D147" s="3" t="s">
        <v>198</v>
      </c>
      <c r="E147" s="25" t="s">
        <v>896</v>
      </c>
      <c r="F147" s="3"/>
      <c r="G147" s="3"/>
      <c r="J147" s="13"/>
      <c r="K147" s="13"/>
      <c r="L147" s="3" t="s">
        <v>257</v>
      </c>
      <c r="M147" s="3" t="s">
        <v>143</v>
      </c>
      <c r="N147" s="3" t="s">
        <v>198</v>
      </c>
    </row>
    <row r="148" customFormat="false" ht="13.8" hidden="false" customHeight="false" outlineLevel="0" collapsed="false">
      <c r="A148" s="3" t="n">
        <v>147</v>
      </c>
      <c r="B148" s="3" t="s">
        <v>315</v>
      </c>
      <c r="C148" s="3" t="s">
        <v>143</v>
      </c>
      <c r="D148" s="3" t="s">
        <v>198</v>
      </c>
      <c r="E148" s="25" t="s">
        <v>482</v>
      </c>
      <c r="F148" s="3" t="s">
        <v>81</v>
      </c>
      <c r="G148" s="3"/>
      <c r="J148" s="13"/>
      <c r="K148" s="13"/>
      <c r="L148" s="3" t="s">
        <v>257</v>
      </c>
      <c r="M148" s="3" t="s">
        <v>143</v>
      </c>
      <c r="N148" s="3" t="s">
        <v>198</v>
      </c>
    </row>
    <row r="149" customFormat="false" ht="13.8" hidden="false" customHeight="false" outlineLevel="0" collapsed="false">
      <c r="A149" s="3" t="n">
        <v>148</v>
      </c>
      <c r="B149" s="3" t="s">
        <v>233</v>
      </c>
      <c r="C149" s="3" t="s">
        <v>143</v>
      </c>
      <c r="D149" s="3" t="s">
        <v>198</v>
      </c>
      <c r="E149" s="25" t="s">
        <v>482</v>
      </c>
      <c r="F149" s="3" t="s">
        <v>105</v>
      </c>
      <c r="G149" s="3" t="s">
        <v>61</v>
      </c>
      <c r="J149" s="13"/>
      <c r="K149" s="13"/>
      <c r="L149" s="3" t="s">
        <v>257</v>
      </c>
      <c r="M149" s="3" t="s">
        <v>143</v>
      </c>
      <c r="N149" s="3" t="s">
        <v>198</v>
      </c>
    </row>
    <row r="150" customFormat="false" ht="13.8" hidden="false" customHeight="false" outlineLevel="0" collapsed="false">
      <c r="A150" s="3" t="n">
        <v>149</v>
      </c>
      <c r="B150" s="3" t="s">
        <v>464</v>
      </c>
      <c r="C150" s="3" t="s">
        <v>105</v>
      </c>
      <c r="D150" s="3" t="s">
        <v>61</v>
      </c>
      <c r="E150" s="25" t="s">
        <v>896</v>
      </c>
      <c r="F150" s="3"/>
      <c r="G150" s="3"/>
      <c r="J150" s="13" t="str">
        <f aca="false">_xlfn.IFS(F150="","",M150=F150,1,M150&lt;&gt;F150,0)</f>
        <v/>
      </c>
      <c r="K150" s="13" t="str">
        <f aca="false">_xlfn.IFS(G150="","",N150=G150,1,N150&lt;&gt;G150,0)</f>
        <v/>
      </c>
      <c r="L150" s="3"/>
      <c r="M150" s="3" t="s">
        <v>105</v>
      </c>
      <c r="N150" s="3" t="s">
        <v>61</v>
      </c>
    </row>
    <row r="151" customFormat="false" ht="13.8" hidden="false" customHeight="false" outlineLevel="0" collapsed="false">
      <c r="A151" s="3" t="n">
        <v>150</v>
      </c>
      <c r="B151" s="3" t="s">
        <v>419</v>
      </c>
      <c r="C151" s="3" t="s">
        <v>105</v>
      </c>
      <c r="D151" s="3" t="s">
        <v>61</v>
      </c>
      <c r="E151" s="25" t="s">
        <v>482</v>
      </c>
      <c r="F151" s="3" t="s">
        <v>105</v>
      </c>
      <c r="G151" s="3" t="s">
        <v>894</v>
      </c>
      <c r="J151" s="13" t="n">
        <f aca="false">_xlfn.IFS(F151="","",M151=F151,1,M151&lt;&gt;F151,0)</f>
        <v>1</v>
      </c>
      <c r="K151" s="13" t="n">
        <f aca="false">_xlfn.IFS(G151="","",N151=G151,1,N151&lt;&gt;G151,0)</f>
        <v>0</v>
      </c>
      <c r="L151" s="3"/>
      <c r="M151" s="3" t="s">
        <v>105</v>
      </c>
      <c r="N151" s="3" t="s">
        <v>61</v>
      </c>
    </row>
    <row r="152" customFormat="false" ht="13.8" hidden="false" customHeight="false" outlineLevel="0" collapsed="false">
      <c r="A152" s="3" t="n">
        <v>151</v>
      </c>
      <c r="B152" s="3" t="s">
        <v>234</v>
      </c>
      <c r="C152" s="3" t="s">
        <v>143</v>
      </c>
      <c r="D152" s="3" t="s">
        <v>198</v>
      </c>
      <c r="E152" s="25" t="s">
        <v>896</v>
      </c>
      <c r="F152" s="3"/>
      <c r="G152" s="3"/>
      <c r="J152" s="13"/>
      <c r="K152" s="13"/>
      <c r="L152" s="3" t="s">
        <v>257</v>
      </c>
      <c r="M152" s="3" t="s">
        <v>143</v>
      </c>
      <c r="N152" s="3" t="s">
        <v>198</v>
      </c>
    </row>
    <row r="153" customFormat="false" ht="13.8" hidden="false" customHeight="false" outlineLevel="0" collapsed="false">
      <c r="A153" s="3" t="n">
        <v>152</v>
      </c>
      <c r="B153" s="3" t="s">
        <v>235</v>
      </c>
      <c r="C153" s="3" t="s">
        <v>105</v>
      </c>
      <c r="D153" s="3" t="s">
        <v>61</v>
      </c>
      <c r="E153" s="25" t="s">
        <v>896</v>
      </c>
      <c r="F153" s="3"/>
      <c r="G153" s="3"/>
      <c r="J153" s="13" t="str">
        <f aca="false">_xlfn.IFS(F153="","",M153=F153,1,M153&lt;&gt;F153,0)</f>
        <v/>
      </c>
      <c r="K153" s="13" t="str">
        <f aca="false">_xlfn.IFS(G153="","",N153=G153,1,N153&lt;&gt;G153,0)</f>
        <v/>
      </c>
      <c r="L153" s="3"/>
      <c r="M153" s="3" t="s">
        <v>105</v>
      </c>
      <c r="N153" s="3" t="s">
        <v>61</v>
      </c>
    </row>
    <row r="154" customFormat="false" ht="13.8" hidden="false" customHeight="false" outlineLevel="0" collapsed="false">
      <c r="A154" s="3" t="n">
        <v>153</v>
      </c>
      <c r="B154" s="3" t="s">
        <v>279</v>
      </c>
      <c r="C154" s="3" t="s">
        <v>105</v>
      </c>
      <c r="D154" s="3" t="s">
        <v>61</v>
      </c>
      <c r="E154" s="25" t="s">
        <v>896</v>
      </c>
      <c r="F154" s="3"/>
      <c r="G154" s="3"/>
      <c r="J154" s="13" t="str">
        <f aca="false">_xlfn.IFS(F154="","",M154=F154,1,M154&lt;&gt;F154,0)</f>
        <v/>
      </c>
      <c r="K154" s="13" t="str">
        <f aca="false">_xlfn.IFS(G154="","",N154=G154,1,N154&lt;&gt;G154,0)</f>
        <v/>
      </c>
      <c r="L154" s="3"/>
      <c r="M154" s="3" t="s">
        <v>105</v>
      </c>
      <c r="N154" s="3" t="s">
        <v>61</v>
      </c>
    </row>
    <row r="155" customFormat="false" ht="13.8" hidden="false" customHeight="false" outlineLevel="0" collapsed="false">
      <c r="A155" s="3" t="n">
        <v>154</v>
      </c>
      <c r="B155" s="3" t="s">
        <v>326</v>
      </c>
      <c r="C155" s="3" t="s">
        <v>105</v>
      </c>
      <c r="D155" s="3" t="s">
        <v>61</v>
      </c>
      <c r="E155" s="25" t="s">
        <v>482</v>
      </c>
      <c r="F155" s="3" t="s">
        <v>105</v>
      </c>
      <c r="G155" s="3" t="s">
        <v>61</v>
      </c>
      <c r="J155" s="13" t="n">
        <f aca="false">_xlfn.IFS(F155="","",M155=F155,1,M155&lt;&gt;F155,0)</f>
        <v>1</v>
      </c>
      <c r="K155" s="13" t="n">
        <f aca="false">_xlfn.IFS(G155="","",N155=G155,1,N155&lt;&gt;G155,0)</f>
        <v>1</v>
      </c>
      <c r="L155" s="3"/>
      <c r="M155" s="3" t="s">
        <v>105</v>
      </c>
      <c r="N155" s="3" t="s">
        <v>61</v>
      </c>
    </row>
    <row r="156" customFormat="false" ht="13.8" hidden="false" customHeight="false" outlineLevel="0" collapsed="false">
      <c r="A156" s="3" t="n">
        <v>155</v>
      </c>
      <c r="B156" s="3" t="s">
        <v>387</v>
      </c>
      <c r="C156" s="3" t="s">
        <v>105</v>
      </c>
      <c r="D156" s="3" t="s">
        <v>61</v>
      </c>
      <c r="E156" s="25" t="s">
        <v>482</v>
      </c>
      <c r="F156" s="3" t="s">
        <v>105</v>
      </c>
      <c r="G156" s="3" t="s">
        <v>61</v>
      </c>
      <c r="J156" s="13" t="n">
        <f aca="false">_xlfn.IFS(F156="","",M156=F156,1,M156&lt;&gt;F156,0)</f>
        <v>1</v>
      </c>
      <c r="K156" s="13" t="n">
        <f aca="false">_xlfn.IFS(G156="","",N156=G156,1,N156&lt;&gt;G156,0)</f>
        <v>1</v>
      </c>
      <c r="L156" s="3"/>
      <c r="M156" s="3" t="s">
        <v>105</v>
      </c>
      <c r="N156" s="3" t="s">
        <v>61</v>
      </c>
    </row>
    <row r="157" customFormat="false" ht="13.8" hidden="false" customHeight="false" outlineLevel="0" collapsed="false">
      <c r="A157" s="3" t="n">
        <v>156</v>
      </c>
      <c r="B157" s="3" t="s">
        <v>702</v>
      </c>
      <c r="C157" s="3" t="s">
        <v>143</v>
      </c>
      <c r="D157" s="3" t="s">
        <v>198</v>
      </c>
      <c r="E157" s="25" t="s">
        <v>896</v>
      </c>
      <c r="F157" s="3"/>
      <c r="G157" s="3"/>
      <c r="J157" s="13"/>
      <c r="K157" s="13"/>
      <c r="L157" s="3" t="s">
        <v>257</v>
      </c>
      <c r="M157" s="3" t="s">
        <v>143</v>
      </c>
      <c r="N157" s="3" t="s">
        <v>198</v>
      </c>
    </row>
    <row r="158" customFormat="false" ht="13.8" hidden="false" customHeight="false" outlineLevel="0" collapsed="false">
      <c r="A158" s="3" t="n">
        <v>157</v>
      </c>
      <c r="B158" s="3" t="s">
        <v>484</v>
      </c>
      <c r="C158" s="3" t="s">
        <v>105</v>
      </c>
      <c r="D158" s="3" t="s">
        <v>61</v>
      </c>
      <c r="E158" s="25" t="s">
        <v>891</v>
      </c>
      <c r="F158" s="3" t="s">
        <v>164</v>
      </c>
      <c r="G158" s="3" t="s">
        <v>154</v>
      </c>
      <c r="J158" s="13" t="n">
        <f aca="false">_xlfn.IFS(F158="","",M158=F158,1,M158&lt;&gt;F158,0)</f>
        <v>0</v>
      </c>
      <c r="K158" s="13" t="n">
        <f aca="false">_xlfn.IFS(G158="","",N158=G158,1,N158&lt;&gt;G158,0)</f>
        <v>0</v>
      </c>
      <c r="L158" s="3"/>
      <c r="M158" s="3" t="s">
        <v>105</v>
      </c>
      <c r="N158" s="3" t="s">
        <v>61</v>
      </c>
    </row>
    <row r="159" customFormat="false" ht="13.8" hidden="false" customHeight="false" outlineLevel="0" collapsed="false">
      <c r="A159" s="3" t="n">
        <v>158</v>
      </c>
      <c r="B159" s="3" t="s">
        <v>426</v>
      </c>
      <c r="C159" s="3" t="s">
        <v>105</v>
      </c>
      <c r="D159" s="3" t="s">
        <v>61</v>
      </c>
      <c r="E159" s="25" t="s">
        <v>891</v>
      </c>
      <c r="F159" s="3" t="s">
        <v>164</v>
      </c>
      <c r="G159" s="3" t="s">
        <v>884</v>
      </c>
      <c r="J159" s="13" t="n">
        <f aca="false">_xlfn.IFS(F159="","",M159=F159,1,M159&lt;&gt;F159,0)</f>
        <v>0</v>
      </c>
      <c r="K159" s="13" t="n">
        <f aca="false">_xlfn.IFS(G159="","",N159=G159,1,N159&lt;&gt;G159,0)</f>
        <v>0</v>
      </c>
      <c r="L159" s="3"/>
      <c r="M159" s="3" t="s">
        <v>105</v>
      </c>
      <c r="N159" s="3" t="s">
        <v>61</v>
      </c>
    </row>
    <row r="160" customFormat="false" ht="13.8" hidden="false" customHeight="false" outlineLevel="0" collapsed="false">
      <c r="A160" s="3" t="n">
        <v>159</v>
      </c>
      <c r="B160" s="3" t="s">
        <v>764</v>
      </c>
      <c r="C160" s="3" t="s">
        <v>143</v>
      </c>
      <c r="D160" s="3" t="s">
        <v>351</v>
      </c>
      <c r="E160" s="25" t="s">
        <v>482</v>
      </c>
      <c r="F160" s="3" t="s">
        <v>105</v>
      </c>
      <c r="G160" s="3" t="s">
        <v>61</v>
      </c>
      <c r="J160" s="13"/>
      <c r="K160" s="13"/>
      <c r="L160" s="3" t="s">
        <v>257</v>
      </c>
      <c r="M160" s="3" t="s">
        <v>143</v>
      </c>
      <c r="N160" s="3" t="s">
        <v>351</v>
      </c>
    </row>
    <row r="161" customFormat="false" ht="13.8" hidden="false" customHeight="false" outlineLevel="0" collapsed="false">
      <c r="A161" s="3" t="n">
        <v>160</v>
      </c>
      <c r="B161" s="3" t="s">
        <v>368</v>
      </c>
      <c r="C161" s="3" t="s">
        <v>105</v>
      </c>
      <c r="D161" s="3" t="s">
        <v>61</v>
      </c>
      <c r="E161" s="25" t="s">
        <v>482</v>
      </c>
      <c r="F161" s="3" t="s">
        <v>105</v>
      </c>
      <c r="G161" s="3" t="s">
        <v>61</v>
      </c>
      <c r="J161" s="13" t="n">
        <f aca="false">_xlfn.IFS(F161="","",M161=F161,1,M161&lt;&gt;F161,0)</f>
        <v>1</v>
      </c>
      <c r="K161" s="13" t="n">
        <f aca="false">_xlfn.IFS(G161="","",N161=G161,1,N161&lt;&gt;G161,0)</f>
        <v>1</v>
      </c>
      <c r="L161" s="3"/>
      <c r="M161" s="3" t="s">
        <v>105</v>
      </c>
      <c r="N161" s="3" t="s">
        <v>61</v>
      </c>
    </row>
    <row r="162" customFormat="false" ht="13.8" hidden="false" customHeight="false" outlineLevel="0" collapsed="false">
      <c r="A162" s="3" t="n">
        <v>161</v>
      </c>
      <c r="B162" s="3" t="s">
        <v>678</v>
      </c>
      <c r="C162" s="3" t="s">
        <v>143</v>
      </c>
      <c r="D162" s="3" t="s">
        <v>288</v>
      </c>
      <c r="E162" s="25" t="s">
        <v>896</v>
      </c>
      <c r="F162" s="3"/>
      <c r="G162" s="3"/>
      <c r="J162" s="13"/>
      <c r="K162" s="13"/>
      <c r="L162" s="3" t="s">
        <v>257</v>
      </c>
      <c r="M162" s="3" t="s">
        <v>143</v>
      </c>
      <c r="N162" s="3" t="s">
        <v>288</v>
      </c>
    </row>
    <row r="163" customFormat="false" ht="13.8" hidden="false" customHeight="false" outlineLevel="0" collapsed="false">
      <c r="A163" s="3" t="n">
        <v>162</v>
      </c>
      <c r="B163" s="3" t="s">
        <v>439</v>
      </c>
      <c r="C163" s="3" t="s">
        <v>105</v>
      </c>
      <c r="D163" s="3" t="s">
        <v>61</v>
      </c>
      <c r="E163" s="25" t="s">
        <v>891</v>
      </c>
      <c r="F163" s="3" t="s">
        <v>164</v>
      </c>
      <c r="G163" s="3" t="s">
        <v>63</v>
      </c>
      <c r="J163" s="13" t="n">
        <f aca="false">_xlfn.IFS(F163="","",M163=F163,1,M163&lt;&gt;F163,0)</f>
        <v>0</v>
      </c>
      <c r="K163" s="13" t="n">
        <f aca="false">_xlfn.IFS(G163="","",N163=G163,1,N163&lt;&gt;G163,0)</f>
        <v>0</v>
      </c>
      <c r="L163" s="3"/>
      <c r="M163" s="3" t="s">
        <v>105</v>
      </c>
      <c r="N163" s="3" t="s">
        <v>61</v>
      </c>
    </row>
    <row r="164" customFormat="false" ht="13.8" hidden="false" customHeight="false" outlineLevel="0" collapsed="false">
      <c r="A164" s="3" t="n">
        <v>163</v>
      </c>
      <c r="B164" s="3" t="s">
        <v>802</v>
      </c>
      <c r="C164" s="3" t="s">
        <v>105</v>
      </c>
      <c r="D164" s="3" t="s">
        <v>61</v>
      </c>
      <c r="E164" s="25" t="s">
        <v>896</v>
      </c>
      <c r="F164" s="3"/>
      <c r="G164" s="3"/>
      <c r="J164" s="13" t="str">
        <f aca="false">_xlfn.IFS(F164="","",M164=F164,1,M164&lt;&gt;F164,0)</f>
        <v/>
      </c>
      <c r="K164" s="13" t="str">
        <f aca="false">_xlfn.IFS(G164="","",N164=G164,1,N164&lt;&gt;G164,0)</f>
        <v/>
      </c>
      <c r="L164" s="3"/>
      <c r="M164" s="3" t="s">
        <v>105</v>
      </c>
      <c r="N164" s="3" t="s">
        <v>61</v>
      </c>
    </row>
    <row r="165" customFormat="false" ht="13.8" hidden="false" customHeight="false" outlineLevel="0" collapsed="false">
      <c r="A165" s="3" t="n">
        <v>164</v>
      </c>
      <c r="B165" s="3" t="s">
        <v>567</v>
      </c>
      <c r="C165" s="3" t="s">
        <v>143</v>
      </c>
      <c r="D165" s="3" t="s">
        <v>198</v>
      </c>
      <c r="E165" s="25" t="s">
        <v>896</v>
      </c>
      <c r="F165" s="3"/>
      <c r="G165" s="3"/>
      <c r="J165" s="13"/>
      <c r="K165" s="13"/>
      <c r="L165" s="3" t="s">
        <v>257</v>
      </c>
      <c r="M165" s="3" t="s">
        <v>143</v>
      </c>
      <c r="N165" s="3" t="s">
        <v>198</v>
      </c>
    </row>
    <row r="166" customFormat="false" ht="13.8" hidden="false" customHeight="false" outlineLevel="0" collapsed="false">
      <c r="A166" s="3" t="n">
        <v>165</v>
      </c>
      <c r="B166" s="3" t="s">
        <v>792</v>
      </c>
      <c r="C166" s="3" t="s">
        <v>143</v>
      </c>
      <c r="D166" s="3" t="s">
        <v>198</v>
      </c>
      <c r="E166" s="25" t="s">
        <v>891</v>
      </c>
      <c r="F166" s="3" t="s">
        <v>164</v>
      </c>
      <c r="G166" s="3" t="s">
        <v>63</v>
      </c>
      <c r="J166" s="13"/>
      <c r="K166" s="13"/>
      <c r="L166" s="3" t="s">
        <v>257</v>
      </c>
      <c r="M166" s="3" t="s">
        <v>143</v>
      </c>
      <c r="N166" s="3" t="s">
        <v>198</v>
      </c>
    </row>
    <row r="167" customFormat="false" ht="13.8" hidden="false" customHeight="false" outlineLevel="0" collapsed="false">
      <c r="A167" s="3" t="n">
        <v>166</v>
      </c>
      <c r="B167" s="3" t="s">
        <v>343</v>
      </c>
      <c r="C167" s="3" t="s">
        <v>105</v>
      </c>
      <c r="D167" s="3" t="s">
        <v>61</v>
      </c>
      <c r="E167" s="25" t="s">
        <v>896</v>
      </c>
      <c r="F167" s="3"/>
      <c r="G167" s="3"/>
      <c r="J167" s="13" t="str">
        <f aca="false">_xlfn.IFS(F167="","",M167=F167,1,M167&lt;&gt;F167,0)</f>
        <v/>
      </c>
      <c r="K167" s="13" t="str">
        <f aca="false">_xlfn.IFS(G167="","",N167=G167,1,N167&lt;&gt;G167,0)</f>
        <v/>
      </c>
      <c r="L167" s="3"/>
      <c r="M167" s="3" t="s">
        <v>105</v>
      </c>
      <c r="N167" s="3" t="s">
        <v>61</v>
      </c>
    </row>
    <row r="168" customFormat="false" ht="13.8" hidden="false" customHeight="false" outlineLevel="0" collapsed="false">
      <c r="A168" s="3" t="n">
        <v>167</v>
      </c>
      <c r="B168" s="3" t="s">
        <v>378</v>
      </c>
      <c r="C168" s="3" t="s">
        <v>105</v>
      </c>
      <c r="D168" s="3" t="s">
        <v>61</v>
      </c>
      <c r="E168" s="25" t="s">
        <v>482</v>
      </c>
      <c r="F168" s="3" t="s">
        <v>105</v>
      </c>
      <c r="G168" s="3" t="s">
        <v>61</v>
      </c>
      <c r="J168" s="13" t="n">
        <f aca="false">_xlfn.IFS(F168="","",M168=F168,1,M168&lt;&gt;F168,0)</f>
        <v>1</v>
      </c>
      <c r="K168" s="13" t="n">
        <f aca="false">_xlfn.IFS(G168="","",N168=G168,1,N168&lt;&gt;G168,0)</f>
        <v>1</v>
      </c>
      <c r="L168" s="3"/>
      <c r="M168" s="3" t="s">
        <v>105</v>
      </c>
      <c r="N168" s="3" t="s">
        <v>61</v>
      </c>
    </row>
    <row r="169" customFormat="false" ht="13.8" hidden="false" customHeight="false" outlineLevel="0" collapsed="false">
      <c r="A169" s="3" t="n">
        <v>168</v>
      </c>
      <c r="B169" s="3" t="s">
        <v>236</v>
      </c>
      <c r="C169" s="3" t="s">
        <v>105</v>
      </c>
      <c r="D169" s="3" t="s">
        <v>61</v>
      </c>
      <c r="E169" s="25" t="s">
        <v>482</v>
      </c>
      <c r="F169" s="3" t="s">
        <v>105</v>
      </c>
      <c r="G169" s="3" t="s">
        <v>894</v>
      </c>
      <c r="J169" s="13" t="n">
        <f aca="false">_xlfn.IFS(F169="","",M169=F169,1,M169&lt;&gt;F169,0)</f>
        <v>1</v>
      </c>
      <c r="K169" s="13" t="n">
        <f aca="false">_xlfn.IFS(G169="","",N169=G169,1,N169&lt;&gt;G169,0)</f>
        <v>0</v>
      </c>
      <c r="L169" s="3"/>
      <c r="M169" s="3" t="s">
        <v>105</v>
      </c>
      <c r="N169" s="3" t="s">
        <v>61</v>
      </c>
    </row>
    <row r="170" customFormat="false" ht="13.8" hidden="false" customHeight="false" outlineLevel="0" collapsed="false">
      <c r="A170" s="3" t="n">
        <v>169</v>
      </c>
      <c r="B170" s="3" t="s">
        <v>382</v>
      </c>
      <c r="C170" s="3" t="s">
        <v>105</v>
      </c>
      <c r="D170" s="3" t="s">
        <v>61</v>
      </c>
      <c r="E170" s="25" t="s">
        <v>891</v>
      </c>
      <c r="F170" s="3" t="s">
        <v>164</v>
      </c>
      <c r="G170" s="3" t="s">
        <v>154</v>
      </c>
      <c r="J170" s="13" t="n">
        <f aca="false">_xlfn.IFS(F170="","",M170=F170,1,M170&lt;&gt;F170,0)</f>
        <v>0</v>
      </c>
      <c r="K170" s="13" t="n">
        <f aca="false">_xlfn.IFS(G170="","",N170=G170,1,N170&lt;&gt;G170,0)</f>
        <v>0</v>
      </c>
      <c r="L170" s="3"/>
      <c r="M170" s="3" t="s">
        <v>105</v>
      </c>
      <c r="N170" s="3" t="s">
        <v>61</v>
      </c>
    </row>
    <row r="171" customFormat="false" ht="13.8" hidden="false" customHeight="false" outlineLevel="0" collapsed="false">
      <c r="A171" s="3" t="n">
        <v>170</v>
      </c>
      <c r="B171" s="3" t="s">
        <v>772</v>
      </c>
      <c r="C171" s="3" t="s">
        <v>105</v>
      </c>
      <c r="D171" s="3" t="s">
        <v>61</v>
      </c>
      <c r="E171" s="25" t="s">
        <v>482</v>
      </c>
      <c r="F171" s="3" t="s">
        <v>105</v>
      </c>
      <c r="G171" s="3" t="s">
        <v>894</v>
      </c>
      <c r="J171" s="13" t="n">
        <f aca="false">_xlfn.IFS(F171="","",M171=F171,1,M171&lt;&gt;F171,0)</f>
        <v>1</v>
      </c>
      <c r="K171" s="13" t="n">
        <f aca="false">_xlfn.IFS(G171="","",N171=G171,1,N171&lt;&gt;G171,0)</f>
        <v>0</v>
      </c>
      <c r="L171" s="3"/>
      <c r="M171" s="3" t="s">
        <v>105</v>
      </c>
      <c r="N171" s="3" t="s">
        <v>61</v>
      </c>
    </row>
    <row r="172" customFormat="false" ht="13.8" hidden="false" customHeight="false" outlineLevel="0" collapsed="false">
      <c r="A172" s="3" t="n">
        <v>171</v>
      </c>
      <c r="B172" s="3" t="s">
        <v>237</v>
      </c>
      <c r="C172" s="3" t="s">
        <v>105</v>
      </c>
      <c r="D172" s="3" t="s">
        <v>77</v>
      </c>
      <c r="E172" s="25" t="s">
        <v>482</v>
      </c>
      <c r="F172" s="3" t="s">
        <v>105</v>
      </c>
      <c r="G172" s="3" t="s">
        <v>894</v>
      </c>
      <c r="J172" s="13" t="n">
        <f aca="false">_xlfn.IFS(F172="","",M172=F172,1,M172&lt;&gt;F172,0)</f>
        <v>1</v>
      </c>
      <c r="K172" s="13" t="n">
        <f aca="false">_xlfn.IFS(G172="","",N172=G172,1,N172&lt;&gt;G172,0)</f>
        <v>1</v>
      </c>
      <c r="L172" s="3"/>
      <c r="M172" s="3" t="s">
        <v>105</v>
      </c>
      <c r="N172" s="3" t="s">
        <v>894</v>
      </c>
    </row>
    <row r="173" customFormat="false" ht="13.8" hidden="false" customHeight="false" outlineLevel="0" collapsed="false">
      <c r="A173" s="3" t="n">
        <v>172</v>
      </c>
      <c r="B173" s="3" t="s">
        <v>789</v>
      </c>
      <c r="C173" s="3" t="s">
        <v>143</v>
      </c>
      <c r="D173" s="3" t="s">
        <v>198</v>
      </c>
      <c r="E173" s="25" t="s">
        <v>896</v>
      </c>
      <c r="F173" s="3"/>
      <c r="G173" s="3"/>
      <c r="J173" s="13"/>
      <c r="K173" s="13"/>
      <c r="L173" s="3" t="s">
        <v>257</v>
      </c>
      <c r="M173" s="3" t="s">
        <v>143</v>
      </c>
      <c r="N173" s="3" t="s">
        <v>198</v>
      </c>
    </row>
    <row r="174" customFormat="false" ht="13.8" hidden="false" customHeight="false" outlineLevel="0" collapsed="false">
      <c r="A174" s="3" t="n">
        <v>173</v>
      </c>
      <c r="B174" s="3" t="s">
        <v>709</v>
      </c>
      <c r="C174" s="3" t="s">
        <v>105</v>
      </c>
      <c r="D174" s="3" t="s">
        <v>61</v>
      </c>
      <c r="E174" s="25" t="s">
        <v>891</v>
      </c>
      <c r="F174" s="3" t="s">
        <v>164</v>
      </c>
      <c r="G174" s="3" t="s">
        <v>154</v>
      </c>
      <c r="J174" s="13" t="n">
        <f aca="false">_xlfn.IFS(F174="","",M174=F174,1,M174&lt;&gt;F174,0)</f>
        <v>0</v>
      </c>
      <c r="K174" s="13" t="n">
        <f aca="false">_xlfn.IFS(G174="","",N174=G174,1,N174&lt;&gt;G174,0)</f>
        <v>0</v>
      </c>
      <c r="L174" s="3"/>
      <c r="M174" s="3" t="s">
        <v>105</v>
      </c>
      <c r="N174" s="3" t="s">
        <v>61</v>
      </c>
    </row>
    <row r="175" customFormat="false" ht="13.8" hidden="false" customHeight="false" outlineLevel="0" collapsed="false">
      <c r="A175" s="3" t="n">
        <v>174</v>
      </c>
      <c r="B175" s="3" t="s">
        <v>336</v>
      </c>
      <c r="C175" s="3" t="s">
        <v>105</v>
      </c>
      <c r="D175" s="3" t="s">
        <v>61</v>
      </c>
      <c r="E175" s="25" t="s">
        <v>896</v>
      </c>
      <c r="F175" s="3"/>
      <c r="G175" s="3"/>
      <c r="J175" s="13" t="str">
        <f aca="false">_xlfn.IFS(F175="","",M175=F175,1,M175&lt;&gt;F175,0)</f>
        <v/>
      </c>
      <c r="K175" s="13" t="str">
        <f aca="false">_xlfn.IFS(G175="","",N175=G175,1,N175&lt;&gt;G175,0)</f>
        <v/>
      </c>
      <c r="L175" s="3"/>
      <c r="M175" s="3" t="s">
        <v>105</v>
      </c>
      <c r="N175" s="3" t="s">
        <v>61</v>
      </c>
    </row>
    <row r="176" customFormat="false" ht="13.8" hidden="false" customHeight="false" outlineLevel="0" collapsed="false">
      <c r="A176" s="3" t="n">
        <v>175</v>
      </c>
      <c r="B176" s="3" t="s">
        <v>374</v>
      </c>
      <c r="C176" s="3" t="s">
        <v>105</v>
      </c>
      <c r="D176" s="3" t="s">
        <v>61</v>
      </c>
      <c r="E176" s="25" t="s">
        <v>896</v>
      </c>
      <c r="F176" s="3"/>
      <c r="G176" s="3"/>
      <c r="J176" s="13" t="str">
        <f aca="false">_xlfn.IFS(F176="","",M176=F176,1,M176&lt;&gt;F176,0)</f>
        <v/>
      </c>
      <c r="K176" s="13" t="str">
        <f aca="false">_xlfn.IFS(G176="","",N176=G176,1,N176&lt;&gt;G176,0)</f>
        <v/>
      </c>
      <c r="L176" s="3"/>
      <c r="M176" s="3" t="s">
        <v>105</v>
      </c>
      <c r="N176" s="3" t="s">
        <v>61</v>
      </c>
    </row>
    <row r="177" customFormat="false" ht="13.8" hidden="false" customHeight="false" outlineLevel="0" collapsed="false">
      <c r="A177" s="3" t="n">
        <v>176</v>
      </c>
      <c r="B177" s="3" t="s">
        <v>695</v>
      </c>
      <c r="C177" s="3" t="s">
        <v>105</v>
      </c>
      <c r="D177" s="3" t="s">
        <v>61</v>
      </c>
      <c r="E177" s="25" t="s">
        <v>891</v>
      </c>
      <c r="F177" s="3" t="s">
        <v>164</v>
      </c>
      <c r="G177" s="3" t="s">
        <v>63</v>
      </c>
      <c r="J177" s="13" t="n">
        <f aca="false">_xlfn.IFS(F177="","",M177=F177,1,M177&lt;&gt;F177,0)</f>
        <v>0</v>
      </c>
      <c r="K177" s="13" t="n">
        <f aca="false">_xlfn.IFS(G177="","",N177=G177,1,N177&lt;&gt;G177,0)</f>
        <v>0</v>
      </c>
      <c r="L177" s="3"/>
      <c r="M177" s="3" t="s">
        <v>105</v>
      </c>
      <c r="N177" s="3" t="s">
        <v>61</v>
      </c>
    </row>
    <row r="178" customFormat="false" ht="13.8" hidden="false" customHeight="false" outlineLevel="0" collapsed="false">
      <c r="A178" s="3" t="n">
        <v>177</v>
      </c>
      <c r="B178" s="3" t="s">
        <v>398</v>
      </c>
      <c r="C178" s="3" t="s">
        <v>105</v>
      </c>
      <c r="D178" s="3" t="s">
        <v>61</v>
      </c>
      <c r="E178" s="25" t="s">
        <v>896</v>
      </c>
      <c r="F178" s="3"/>
      <c r="G178" s="3"/>
      <c r="J178" s="13" t="str">
        <f aca="false">_xlfn.IFS(F178="","",M178=F178,1,M178&lt;&gt;F178,0)</f>
        <v/>
      </c>
      <c r="K178" s="13" t="str">
        <f aca="false">_xlfn.IFS(G178="","",N178=G178,1,N178&lt;&gt;G178,0)</f>
        <v/>
      </c>
      <c r="L178" s="3"/>
      <c r="M178" s="3" t="s">
        <v>105</v>
      </c>
      <c r="N178" s="3" t="s">
        <v>61</v>
      </c>
    </row>
    <row r="179" customFormat="false" ht="13.8" hidden="false" customHeight="false" outlineLevel="0" collapsed="false">
      <c r="A179" s="3" t="n">
        <v>178</v>
      </c>
      <c r="B179" s="3" t="s">
        <v>810</v>
      </c>
      <c r="C179" s="3" t="s">
        <v>143</v>
      </c>
      <c r="D179" s="3" t="s">
        <v>198</v>
      </c>
      <c r="E179" s="25" t="s">
        <v>482</v>
      </c>
      <c r="F179" s="3" t="s">
        <v>105</v>
      </c>
      <c r="G179" s="3" t="s">
        <v>894</v>
      </c>
      <c r="J179" s="13"/>
      <c r="K179" s="13"/>
      <c r="L179" s="3" t="s">
        <v>257</v>
      </c>
      <c r="M179" s="3" t="s">
        <v>143</v>
      </c>
      <c r="N179" s="3" t="s">
        <v>198</v>
      </c>
    </row>
    <row r="180" customFormat="false" ht="13.8" hidden="false" customHeight="false" outlineLevel="0" collapsed="false">
      <c r="A180" s="3" t="n">
        <v>179</v>
      </c>
      <c r="B180" s="3" t="s">
        <v>487</v>
      </c>
      <c r="C180" s="3" t="s">
        <v>105</v>
      </c>
      <c r="D180" s="3" t="s">
        <v>61</v>
      </c>
      <c r="E180" s="25" t="s">
        <v>896</v>
      </c>
      <c r="F180" s="3"/>
      <c r="G180" s="3"/>
      <c r="J180" s="13" t="str">
        <f aca="false">_xlfn.IFS(F180="","",M180=F180,1,M180&lt;&gt;F180,0)</f>
        <v/>
      </c>
      <c r="K180" s="13" t="str">
        <f aca="false">_xlfn.IFS(G180="","",N180=G180,1,N180&lt;&gt;G180,0)</f>
        <v/>
      </c>
      <c r="L180" s="3"/>
      <c r="M180" s="3" t="s">
        <v>105</v>
      </c>
      <c r="N180" s="3" t="s">
        <v>61</v>
      </c>
    </row>
    <row r="181" customFormat="false" ht="13.8" hidden="false" customHeight="false" outlineLevel="0" collapsed="false">
      <c r="A181" s="3" t="n">
        <v>180</v>
      </c>
      <c r="B181" s="3" t="s">
        <v>238</v>
      </c>
      <c r="C181" s="3" t="s">
        <v>143</v>
      </c>
      <c r="D181" s="3" t="s">
        <v>198</v>
      </c>
      <c r="E181" s="25" t="s">
        <v>896</v>
      </c>
      <c r="F181" s="3"/>
      <c r="G181" s="3"/>
      <c r="J181" s="13"/>
      <c r="K181" s="13"/>
      <c r="L181" s="3" t="s">
        <v>257</v>
      </c>
      <c r="M181" s="3" t="s">
        <v>143</v>
      </c>
      <c r="N181" s="3" t="s">
        <v>198</v>
      </c>
    </row>
    <row r="182" customFormat="false" ht="13.8" hidden="false" customHeight="false" outlineLevel="0" collapsed="false">
      <c r="A182" s="3" t="n">
        <v>181</v>
      </c>
      <c r="B182" s="3" t="s">
        <v>411</v>
      </c>
      <c r="C182" s="3" t="s">
        <v>143</v>
      </c>
      <c r="D182" s="3" t="s">
        <v>198</v>
      </c>
      <c r="E182" s="25" t="s">
        <v>891</v>
      </c>
      <c r="F182" s="3" t="s">
        <v>164</v>
      </c>
      <c r="G182" s="3" t="s">
        <v>154</v>
      </c>
      <c r="J182" s="13"/>
      <c r="K182" s="13"/>
      <c r="L182" s="3" t="s">
        <v>257</v>
      </c>
      <c r="M182" s="3" t="s">
        <v>143</v>
      </c>
      <c r="N182" s="3" t="s">
        <v>198</v>
      </c>
    </row>
    <row r="183" customFormat="false" ht="13.8" hidden="false" customHeight="false" outlineLevel="0" collapsed="false">
      <c r="A183" s="3" t="n">
        <v>182</v>
      </c>
      <c r="B183" s="3" t="s">
        <v>820</v>
      </c>
      <c r="C183" s="3" t="s">
        <v>105</v>
      </c>
      <c r="D183" s="3" t="s">
        <v>61</v>
      </c>
      <c r="E183" s="25" t="s">
        <v>891</v>
      </c>
      <c r="F183" s="3" t="s">
        <v>164</v>
      </c>
      <c r="G183" s="3" t="s">
        <v>154</v>
      </c>
      <c r="J183" s="13" t="n">
        <f aca="false">_xlfn.IFS(F183="","",M183=F183,1,M183&lt;&gt;F183,0)</f>
        <v>0</v>
      </c>
      <c r="K183" s="13" t="n">
        <f aca="false">_xlfn.IFS(G183="","",N183=G183,1,N183&lt;&gt;G183,0)</f>
        <v>0</v>
      </c>
      <c r="L183" s="3"/>
      <c r="M183" s="3" t="s">
        <v>105</v>
      </c>
      <c r="N183" s="3" t="s">
        <v>61</v>
      </c>
    </row>
    <row r="184" customFormat="false" ht="13.8" hidden="false" customHeight="false" outlineLevel="0" collapsed="false">
      <c r="A184" s="3" t="n">
        <v>183</v>
      </c>
      <c r="B184" s="3" t="s">
        <v>327</v>
      </c>
      <c r="C184" s="3" t="s">
        <v>105</v>
      </c>
      <c r="D184" s="3" t="s">
        <v>61</v>
      </c>
      <c r="E184" s="25" t="s">
        <v>482</v>
      </c>
      <c r="F184" s="3" t="s">
        <v>105</v>
      </c>
      <c r="G184" s="3" t="s">
        <v>894</v>
      </c>
      <c r="J184" s="13" t="n">
        <f aca="false">_xlfn.IFS(F184="","",M184=F184,1,M184&lt;&gt;F184,0)</f>
        <v>1</v>
      </c>
      <c r="K184" s="13" t="n">
        <f aca="false">_xlfn.IFS(G184="","",N184=G184,1,N184&lt;&gt;G184,0)</f>
        <v>0</v>
      </c>
      <c r="L184" s="3"/>
      <c r="M184" s="3" t="s">
        <v>105</v>
      </c>
      <c r="N184" s="3" t="s">
        <v>61</v>
      </c>
    </row>
    <row r="185" customFormat="false" ht="13.8" hidden="false" customHeight="false" outlineLevel="0" collapsed="false">
      <c r="A185" s="3" t="n">
        <v>184</v>
      </c>
      <c r="B185" s="3" t="s">
        <v>839</v>
      </c>
      <c r="C185" s="3" t="s">
        <v>105</v>
      </c>
      <c r="D185" s="3" t="s">
        <v>61</v>
      </c>
      <c r="E185" s="25" t="s">
        <v>896</v>
      </c>
      <c r="F185" s="3"/>
      <c r="G185" s="3"/>
      <c r="J185" s="13" t="str">
        <f aca="false">_xlfn.IFS(F185="","",M185=F185,1,M185&lt;&gt;F185,0)</f>
        <v/>
      </c>
      <c r="K185" s="13" t="str">
        <f aca="false">_xlfn.IFS(G185="","",N185=G185,1,N185&lt;&gt;G185,0)</f>
        <v/>
      </c>
      <c r="L185" s="3"/>
      <c r="M185" s="3" t="s">
        <v>105</v>
      </c>
      <c r="N185" s="3" t="s">
        <v>61</v>
      </c>
    </row>
    <row r="186" customFormat="false" ht="13.8" hidden="false" customHeight="false" outlineLevel="0" collapsed="false">
      <c r="A186" s="3" t="n">
        <v>185</v>
      </c>
      <c r="B186" s="3" t="s">
        <v>489</v>
      </c>
      <c r="C186" s="3" t="s">
        <v>150</v>
      </c>
      <c r="D186" s="3" t="s">
        <v>245</v>
      </c>
      <c r="E186" s="25" t="s">
        <v>891</v>
      </c>
      <c r="F186" s="3" t="s">
        <v>164</v>
      </c>
      <c r="G186" s="3" t="s">
        <v>893</v>
      </c>
      <c r="J186" s="13" t="n">
        <f aca="false">_xlfn.IFS(F186="","",M186=F186,1,M186&lt;&gt;F186,0)</f>
        <v>1</v>
      </c>
      <c r="K186" s="13" t="n">
        <f aca="false">_xlfn.IFS(G186="","",N186=G186,1,N186&lt;&gt;G186,0)</f>
        <v>0</v>
      </c>
      <c r="L186" s="3"/>
      <c r="M186" s="3" t="s">
        <v>164</v>
      </c>
      <c r="N186" s="3" t="s">
        <v>899</v>
      </c>
    </row>
    <row r="187" customFormat="false" ht="13.8" hidden="false" customHeight="false" outlineLevel="0" collapsed="false">
      <c r="A187" s="3" t="n">
        <v>186</v>
      </c>
      <c r="B187" s="3" t="s">
        <v>280</v>
      </c>
      <c r="C187" s="3" t="s">
        <v>105</v>
      </c>
      <c r="D187" s="3" t="s">
        <v>77</v>
      </c>
      <c r="E187" s="25" t="s">
        <v>896</v>
      </c>
      <c r="F187" s="3"/>
      <c r="G187" s="3"/>
      <c r="J187" s="13" t="str">
        <f aca="false">_xlfn.IFS(F187="","",M187=F187,1,M187&lt;&gt;F187,0)</f>
        <v/>
      </c>
      <c r="K187" s="13" t="str">
        <f aca="false">_xlfn.IFS(G187="","",N187=G187,1,N187&lt;&gt;G187,0)</f>
        <v/>
      </c>
      <c r="L187" s="3"/>
      <c r="M187" s="3" t="s">
        <v>105</v>
      </c>
      <c r="N187" s="3" t="s">
        <v>894</v>
      </c>
    </row>
    <row r="188" customFormat="false" ht="13.8" hidden="false" customHeight="false" outlineLevel="0" collapsed="false">
      <c r="A188" s="3" t="n">
        <v>187</v>
      </c>
      <c r="B188" s="3" t="s">
        <v>545</v>
      </c>
      <c r="C188" s="3" t="s">
        <v>105</v>
      </c>
      <c r="D188" s="3" t="s">
        <v>61</v>
      </c>
      <c r="E188" s="25" t="s">
        <v>891</v>
      </c>
      <c r="F188" s="3" t="s">
        <v>164</v>
      </c>
      <c r="G188" s="3" t="s">
        <v>63</v>
      </c>
      <c r="J188" s="13" t="n">
        <f aca="false">_xlfn.IFS(F188="","",M188=F188,1,M188&lt;&gt;F188,0)</f>
        <v>0</v>
      </c>
      <c r="K188" s="13" t="n">
        <f aca="false">_xlfn.IFS(G188="","",N188=G188,1,N188&lt;&gt;G188,0)</f>
        <v>0</v>
      </c>
      <c r="L188" s="3"/>
      <c r="M188" s="3" t="s">
        <v>105</v>
      </c>
      <c r="N188" s="3" t="s">
        <v>61</v>
      </c>
    </row>
    <row r="189" customFormat="false" ht="13.8" hidden="false" customHeight="false" outlineLevel="0" collapsed="false">
      <c r="A189" s="3" t="n">
        <v>188</v>
      </c>
      <c r="B189" s="3" t="s">
        <v>766</v>
      </c>
      <c r="C189" s="3" t="s">
        <v>143</v>
      </c>
      <c r="D189" s="3" t="s">
        <v>589</v>
      </c>
      <c r="E189" s="25" t="s">
        <v>891</v>
      </c>
      <c r="F189" s="3" t="s">
        <v>164</v>
      </c>
      <c r="G189" s="3" t="s">
        <v>63</v>
      </c>
      <c r="J189" s="13" t="n">
        <f aca="false">_xlfn.IFS(F189="","",M189=F189,1,M189&lt;&gt;F189,0)</f>
        <v>0</v>
      </c>
      <c r="K189" s="13" t="n">
        <f aca="false">_xlfn.IFS(G189="","",N189=G189,1,N189&lt;&gt;G189,0)</f>
        <v>0</v>
      </c>
      <c r="L189" s="3"/>
      <c r="M189" s="3" t="s">
        <v>143</v>
      </c>
      <c r="N189" s="3" t="s">
        <v>589</v>
      </c>
    </row>
    <row r="190" customFormat="false" ht="13.8" hidden="false" customHeight="false" outlineLevel="0" collapsed="false">
      <c r="A190" s="3" t="n">
        <v>189</v>
      </c>
      <c r="B190" s="3" t="s">
        <v>703</v>
      </c>
      <c r="C190" s="3" t="s">
        <v>105</v>
      </c>
      <c r="D190" s="3" t="s">
        <v>61</v>
      </c>
      <c r="E190" s="25" t="s">
        <v>896</v>
      </c>
      <c r="F190" s="3"/>
      <c r="G190" s="3"/>
      <c r="J190" s="13" t="str">
        <f aca="false">_xlfn.IFS(F190="","",M190=F190,1,M190&lt;&gt;F190,0)</f>
        <v/>
      </c>
      <c r="K190" s="13" t="str">
        <f aca="false">_xlfn.IFS(G190="","",N190=G190,1,N190&lt;&gt;G190,0)</f>
        <v/>
      </c>
      <c r="L190" s="3"/>
      <c r="M190" s="3" t="s">
        <v>105</v>
      </c>
      <c r="N190" s="3" t="s">
        <v>61</v>
      </c>
    </row>
    <row r="191" customFormat="false" ht="13.8" hidden="false" customHeight="false" outlineLevel="0" collapsed="false">
      <c r="A191" s="3" t="n">
        <v>190</v>
      </c>
      <c r="B191" s="3" t="s">
        <v>780</v>
      </c>
      <c r="C191" s="3" t="s">
        <v>143</v>
      </c>
      <c r="D191" s="3" t="s">
        <v>198</v>
      </c>
      <c r="E191" s="25" t="s">
        <v>482</v>
      </c>
      <c r="F191" s="3" t="s">
        <v>105</v>
      </c>
      <c r="G191" s="3" t="s">
        <v>894</v>
      </c>
      <c r="J191" s="13"/>
      <c r="K191" s="13"/>
      <c r="L191" s="3" t="s">
        <v>257</v>
      </c>
      <c r="M191" s="3" t="s">
        <v>143</v>
      </c>
      <c r="N191" s="3" t="s">
        <v>198</v>
      </c>
    </row>
    <row r="192" customFormat="false" ht="13.8" hidden="false" customHeight="false" outlineLevel="0" collapsed="false">
      <c r="A192" s="3" t="n">
        <v>191</v>
      </c>
      <c r="B192" s="3" t="s">
        <v>632</v>
      </c>
      <c r="C192" s="3" t="s">
        <v>105</v>
      </c>
      <c r="D192" s="3" t="s">
        <v>61</v>
      </c>
      <c r="E192" s="25" t="s">
        <v>482</v>
      </c>
      <c r="F192" s="3" t="s">
        <v>105</v>
      </c>
      <c r="G192" s="3" t="s">
        <v>894</v>
      </c>
      <c r="J192" s="13" t="n">
        <f aca="false">_xlfn.IFS(F192="","",M192=F192,1,M192&lt;&gt;F192,0)</f>
        <v>1</v>
      </c>
      <c r="K192" s="13" t="n">
        <f aca="false">_xlfn.IFS(G192="","",N192=G192,1,N192&lt;&gt;G192,0)</f>
        <v>0</v>
      </c>
      <c r="L192" s="3"/>
      <c r="M192" s="3" t="s">
        <v>105</v>
      </c>
      <c r="N192" s="3" t="s">
        <v>61</v>
      </c>
    </row>
    <row r="193" customFormat="false" ht="13.8" hidden="false" customHeight="false" outlineLevel="0" collapsed="false">
      <c r="A193" s="3" t="n">
        <v>192</v>
      </c>
      <c r="B193" s="3" t="s">
        <v>684</v>
      </c>
      <c r="C193" s="3" t="s">
        <v>105</v>
      </c>
      <c r="D193" s="3" t="s">
        <v>61</v>
      </c>
      <c r="E193" s="25" t="s">
        <v>896</v>
      </c>
      <c r="F193" s="3"/>
      <c r="G193" s="3"/>
      <c r="J193" s="13" t="str">
        <f aca="false">_xlfn.IFS(F193="","",M193=F193,1,M193&lt;&gt;F193,0)</f>
        <v/>
      </c>
      <c r="K193" s="13" t="str">
        <f aca="false">_xlfn.IFS(G193="","",N193=G193,1,N193&lt;&gt;G193,0)</f>
        <v/>
      </c>
      <c r="L193" s="3"/>
      <c r="M193" s="3" t="s">
        <v>105</v>
      </c>
      <c r="N193" s="3" t="s">
        <v>61</v>
      </c>
    </row>
    <row r="194" customFormat="false" ht="13.8" hidden="false" customHeight="false" outlineLevel="0" collapsed="false">
      <c r="A194" s="3" t="n">
        <v>193</v>
      </c>
      <c r="B194" s="3" t="s">
        <v>239</v>
      </c>
      <c r="C194" s="3" t="s">
        <v>105</v>
      </c>
      <c r="D194" s="3" t="s">
        <v>55</v>
      </c>
      <c r="E194" s="25" t="s">
        <v>891</v>
      </c>
      <c r="F194" s="3" t="s">
        <v>164</v>
      </c>
      <c r="G194" s="3" t="s">
        <v>154</v>
      </c>
      <c r="J194" s="13" t="n">
        <f aca="false">_xlfn.IFS(F194="","",M194=F194,1,M194&lt;&gt;F194,0)</f>
        <v>0</v>
      </c>
      <c r="K194" s="13" t="n">
        <f aca="false">_xlfn.IFS(G194="","",N194=G194,1,N194&lt;&gt;G194,0)</f>
        <v>0</v>
      </c>
      <c r="L194" s="3"/>
      <c r="M194" s="3" t="s">
        <v>105</v>
      </c>
      <c r="N194" s="3" t="s">
        <v>55</v>
      </c>
    </row>
    <row r="195" customFormat="false" ht="13.8" hidden="false" customHeight="false" outlineLevel="0" collapsed="false">
      <c r="A195" s="3" t="n">
        <v>194</v>
      </c>
      <c r="B195" s="3" t="s">
        <v>388</v>
      </c>
      <c r="C195" s="3" t="s">
        <v>105</v>
      </c>
      <c r="D195" s="3" t="s">
        <v>61</v>
      </c>
      <c r="E195" s="25" t="s">
        <v>891</v>
      </c>
      <c r="F195" s="3" t="s">
        <v>164</v>
      </c>
      <c r="G195" s="3" t="s">
        <v>63</v>
      </c>
      <c r="J195" s="13" t="n">
        <f aca="false">_xlfn.IFS(F195="","",M195=F195,1,M195&lt;&gt;F195,0)</f>
        <v>0</v>
      </c>
      <c r="K195" s="13" t="n">
        <f aca="false">_xlfn.IFS(G195="","",N195=G195,1,N195&lt;&gt;G195,0)</f>
        <v>0</v>
      </c>
      <c r="L195" s="3"/>
      <c r="M195" s="3" t="s">
        <v>105</v>
      </c>
      <c r="N195" s="3" t="s">
        <v>61</v>
      </c>
    </row>
    <row r="196" customFormat="false" ht="13.8" hidden="false" customHeight="false" outlineLevel="0" collapsed="false">
      <c r="A196" s="3" t="n">
        <v>195</v>
      </c>
      <c r="B196" s="3" t="s">
        <v>497</v>
      </c>
      <c r="C196" s="3" t="s">
        <v>105</v>
      </c>
      <c r="D196" s="3" t="s">
        <v>61</v>
      </c>
      <c r="E196" s="25" t="s">
        <v>482</v>
      </c>
      <c r="F196" s="3" t="s">
        <v>81</v>
      </c>
      <c r="G196" s="3"/>
      <c r="J196" s="13" t="n">
        <f aca="false">_xlfn.IFS(F196="","",M196=F196,1,M196&lt;&gt;F196,0)</f>
        <v>0</v>
      </c>
      <c r="K196" s="13" t="str">
        <f aca="false">_xlfn.IFS(G196="","",N196=G196,1,N196&lt;&gt;G196,0)</f>
        <v/>
      </c>
      <c r="L196" s="3"/>
      <c r="M196" s="3" t="s">
        <v>105</v>
      </c>
      <c r="N196" s="3" t="s">
        <v>61</v>
      </c>
    </row>
    <row r="197" customFormat="false" ht="13.8" hidden="false" customHeight="false" outlineLevel="0" collapsed="false">
      <c r="A197" s="3" t="n">
        <v>196</v>
      </c>
      <c r="B197" s="3" t="s">
        <v>316</v>
      </c>
      <c r="C197" s="3" t="s">
        <v>143</v>
      </c>
      <c r="D197" s="3" t="s">
        <v>198</v>
      </c>
      <c r="E197" s="25" t="s">
        <v>482</v>
      </c>
      <c r="F197" s="3" t="s">
        <v>105</v>
      </c>
      <c r="G197" s="3" t="s">
        <v>61</v>
      </c>
      <c r="J197" s="13"/>
      <c r="K197" s="13"/>
      <c r="L197" s="3" t="s">
        <v>257</v>
      </c>
      <c r="M197" s="3" t="s">
        <v>143</v>
      </c>
      <c r="N197" s="3" t="s">
        <v>198</v>
      </c>
    </row>
    <row r="198" customFormat="false" ht="13.8" hidden="false" customHeight="false" outlineLevel="0" collapsed="false">
      <c r="A198" s="3" t="n">
        <v>197</v>
      </c>
      <c r="B198" s="3" t="s">
        <v>827</v>
      </c>
      <c r="C198" s="3" t="s">
        <v>105</v>
      </c>
      <c r="D198" s="3" t="s">
        <v>61</v>
      </c>
      <c r="E198" s="25" t="s">
        <v>891</v>
      </c>
      <c r="F198" s="3" t="s">
        <v>164</v>
      </c>
      <c r="G198" s="3" t="s">
        <v>63</v>
      </c>
      <c r="J198" s="13" t="n">
        <f aca="false">_xlfn.IFS(F198="","",M198=F198,1,M198&lt;&gt;F198,0)</f>
        <v>0</v>
      </c>
      <c r="K198" s="13" t="n">
        <f aca="false">_xlfn.IFS(G198="","",N198=G198,1,N198&lt;&gt;G198,0)</f>
        <v>0</v>
      </c>
      <c r="L198" s="3"/>
      <c r="M198" s="3" t="s">
        <v>105</v>
      </c>
      <c r="N198" s="3" t="s">
        <v>61</v>
      </c>
    </row>
    <row r="199" customFormat="false" ht="13.8" hidden="false" customHeight="false" outlineLevel="0" collapsed="false">
      <c r="A199" s="3" t="n">
        <v>198</v>
      </c>
      <c r="B199" s="3" t="s">
        <v>440</v>
      </c>
      <c r="C199" s="3" t="s">
        <v>105</v>
      </c>
      <c r="D199" s="3" t="s">
        <v>61</v>
      </c>
      <c r="E199" s="25" t="s">
        <v>896</v>
      </c>
      <c r="F199" s="3"/>
      <c r="G199" s="3"/>
      <c r="J199" s="13" t="str">
        <f aca="false">_xlfn.IFS(F199="","",M199=F199,1,M199&lt;&gt;F199,0)</f>
        <v/>
      </c>
      <c r="K199" s="13" t="str">
        <f aca="false">_xlfn.IFS(G199="","",N199=G199,1,N199&lt;&gt;G199,0)</f>
        <v/>
      </c>
      <c r="L199" s="3"/>
      <c r="M199" s="3" t="s">
        <v>105</v>
      </c>
      <c r="N199" s="3" t="s">
        <v>61</v>
      </c>
    </row>
    <row r="200" customFormat="false" ht="13.8" hidden="false" customHeight="false" outlineLevel="0" collapsed="false">
      <c r="A200" s="3" t="n">
        <v>199</v>
      </c>
      <c r="B200" s="3" t="s">
        <v>681</v>
      </c>
      <c r="C200" s="3" t="s">
        <v>105</v>
      </c>
      <c r="D200" s="3" t="s">
        <v>61</v>
      </c>
      <c r="E200" s="25" t="s">
        <v>891</v>
      </c>
      <c r="F200" s="3" t="s">
        <v>164</v>
      </c>
      <c r="G200" s="3" t="s">
        <v>154</v>
      </c>
      <c r="J200" s="13" t="n">
        <f aca="false">_xlfn.IFS(F200="","",M200=F200,1,M200&lt;&gt;F200,0)</f>
        <v>0</v>
      </c>
      <c r="K200" s="13" t="n">
        <f aca="false">_xlfn.IFS(G200="","",N200=G200,1,N200&lt;&gt;G200,0)</f>
        <v>0</v>
      </c>
      <c r="L200" s="3"/>
      <c r="M200" s="3" t="s">
        <v>105</v>
      </c>
      <c r="N200" s="3" t="s">
        <v>61</v>
      </c>
    </row>
    <row r="201" customFormat="false" ht="13.8" hidden="false" customHeight="false" outlineLevel="0" collapsed="false">
      <c r="A201" s="3" t="n">
        <v>200</v>
      </c>
      <c r="B201" s="3" t="s">
        <v>540</v>
      </c>
      <c r="C201" s="3" t="s">
        <v>143</v>
      </c>
      <c r="D201" s="3" t="s">
        <v>288</v>
      </c>
      <c r="E201" s="25" t="s">
        <v>482</v>
      </c>
      <c r="F201" s="3" t="s">
        <v>105</v>
      </c>
      <c r="G201" s="3" t="s">
        <v>61</v>
      </c>
      <c r="J201" s="13"/>
      <c r="K201" s="13"/>
      <c r="L201" s="3" t="s">
        <v>257</v>
      </c>
      <c r="M201" s="3" t="s">
        <v>143</v>
      </c>
      <c r="N201" s="3" t="s">
        <v>288</v>
      </c>
    </row>
    <row r="202" customFormat="false" ht="13.8" hidden="false" customHeight="false" outlineLevel="0" collapsed="false">
      <c r="A202" s="3" t="n">
        <v>201</v>
      </c>
      <c r="B202" s="3" t="s">
        <v>281</v>
      </c>
      <c r="C202" s="3" t="s">
        <v>105</v>
      </c>
      <c r="D202" s="3" t="s">
        <v>77</v>
      </c>
      <c r="E202" s="25" t="s">
        <v>896</v>
      </c>
      <c r="F202" s="3"/>
      <c r="G202" s="3"/>
      <c r="J202" s="13" t="str">
        <f aca="false">_xlfn.IFS(F202="","",M202=F202,1,M202&lt;&gt;F202,0)</f>
        <v/>
      </c>
      <c r="K202" s="13" t="str">
        <f aca="false">_xlfn.IFS(G202="","",N202=G202,1,N202&lt;&gt;G202,0)</f>
        <v/>
      </c>
      <c r="L202" s="3"/>
      <c r="M202" s="3" t="s">
        <v>105</v>
      </c>
      <c r="N202" s="3" t="s">
        <v>894</v>
      </c>
    </row>
    <row r="203" customFormat="false" ht="13.8" hidden="false" customHeight="false" outlineLevel="0" collapsed="false">
      <c r="A203" s="3" t="n">
        <v>202</v>
      </c>
      <c r="B203" s="3" t="s">
        <v>867</v>
      </c>
      <c r="C203" s="3" t="s">
        <v>105</v>
      </c>
      <c r="D203" s="3" t="s">
        <v>61</v>
      </c>
      <c r="E203" s="25" t="s">
        <v>896</v>
      </c>
      <c r="F203" s="3"/>
      <c r="G203" s="3"/>
      <c r="J203" s="13" t="str">
        <f aca="false">_xlfn.IFS(F203="","",M203=F203,1,M203&lt;&gt;F203,0)</f>
        <v/>
      </c>
      <c r="K203" s="13" t="str">
        <f aca="false">_xlfn.IFS(G203="","",N203=G203,1,N203&lt;&gt;G203,0)</f>
        <v/>
      </c>
      <c r="L203" s="3"/>
      <c r="M203" s="3" t="s">
        <v>105</v>
      </c>
      <c r="N203" s="3" t="s">
        <v>61</v>
      </c>
    </row>
    <row r="204" customFormat="false" ht="13.8" hidden="false" customHeight="false" outlineLevel="0" collapsed="false">
      <c r="A204" s="3" t="n">
        <v>203</v>
      </c>
      <c r="B204" s="3" t="s">
        <v>112</v>
      </c>
      <c r="C204" s="3" t="s">
        <v>105</v>
      </c>
      <c r="D204" s="3" t="s">
        <v>61</v>
      </c>
      <c r="E204" s="25" t="s">
        <v>896</v>
      </c>
      <c r="F204" s="3"/>
      <c r="G204" s="3"/>
      <c r="J204" s="13" t="str">
        <f aca="false">_xlfn.IFS(F204="","",M204=F204,1,M204&lt;&gt;F204,0)</f>
        <v/>
      </c>
      <c r="K204" s="13" t="str">
        <f aca="false">_xlfn.IFS(G204="","",N204=G204,1,N204&lt;&gt;G204,0)</f>
        <v/>
      </c>
      <c r="L204" s="3"/>
      <c r="M204" s="3" t="s">
        <v>105</v>
      </c>
      <c r="N204" s="3" t="s">
        <v>61</v>
      </c>
    </row>
    <row r="205" customFormat="false" ht="13.8" hidden="false" customHeight="false" outlineLevel="0" collapsed="false">
      <c r="A205" s="3" t="n">
        <v>204</v>
      </c>
      <c r="B205" s="3" t="s">
        <v>282</v>
      </c>
      <c r="C205" s="3" t="s">
        <v>105</v>
      </c>
      <c r="D205" s="3" t="s">
        <v>61</v>
      </c>
      <c r="E205" s="25" t="s">
        <v>896</v>
      </c>
      <c r="F205" s="3"/>
      <c r="G205" s="3"/>
      <c r="J205" s="13" t="str">
        <f aca="false">_xlfn.IFS(F205="","",M205=F205,1,M205&lt;&gt;F205,0)</f>
        <v/>
      </c>
      <c r="K205" s="13" t="str">
        <f aca="false">_xlfn.IFS(G205="","",N205=G205,1,N205&lt;&gt;G205,0)</f>
        <v/>
      </c>
      <c r="L205" s="3"/>
      <c r="M205" s="3" t="s">
        <v>105</v>
      </c>
      <c r="N205" s="3" t="s">
        <v>61</v>
      </c>
    </row>
    <row r="206" customFormat="false" ht="13.8" hidden="false" customHeight="false" outlineLevel="0" collapsed="false">
      <c r="A206" s="3" t="n">
        <v>205</v>
      </c>
      <c r="B206" s="3" t="s">
        <v>608</v>
      </c>
      <c r="C206" s="3" t="s">
        <v>105</v>
      </c>
      <c r="D206" s="3" t="s">
        <v>61</v>
      </c>
      <c r="E206" s="25" t="s">
        <v>482</v>
      </c>
      <c r="F206" s="3" t="s">
        <v>105</v>
      </c>
      <c r="G206" s="3" t="s">
        <v>894</v>
      </c>
      <c r="J206" s="13" t="n">
        <f aca="false">_xlfn.IFS(F206="","",M206=F206,1,M206&lt;&gt;F206,0)</f>
        <v>1</v>
      </c>
      <c r="K206" s="13" t="n">
        <f aca="false">_xlfn.IFS(G206="","",N206=G206,1,N206&lt;&gt;G206,0)</f>
        <v>0</v>
      </c>
      <c r="L206" s="3"/>
      <c r="M206" s="3" t="s">
        <v>105</v>
      </c>
      <c r="N206" s="3" t="s">
        <v>61</v>
      </c>
    </row>
    <row r="207" customFormat="false" ht="13.8" hidden="false" customHeight="false" outlineLevel="0" collapsed="false">
      <c r="A207" s="3" t="n">
        <v>206</v>
      </c>
      <c r="B207" s="3" t="s">
        <v>517</v>
      </c>
      <c r="C207" s="3" t="s">
        <v>143</v>
      </c>
      <c r="D207" s="3" t="s">
        <v>288</v>
      </c>
      <c r="E207" s="25" t="s">
        <v>482</v>
      </c>
      <c r="F207" s="3" t="s">
        <v>81</v>
      </c>
      <c r="G207" s="3"/>
      <c r="J207" s="13"/>
      <c r="K207" s="13"/>
      <c r="L207" s="3" t="s">
        <v>257</v>
      </c>
      <c r="M207" s="3" t="s">
        <v>143</v>
      </c>
      <c r="N207" s="3" t="s">
        <v>288</v>
      </c>
    </row>
    <row r="208" customFormat="false" ht="13.8" hidden="false" customHeight="false" outlineLevel="0" collapsed="false">
      <c r="A208" s="3" t="n">
        <v>207</v>
      </c>
      <c r="B208" s="3" t="s">
        <v>749</v>
      </c>
      <c r="C208" s="3" t="s">
        <v>143</v>
      </c>
      <c r="D208" s="3" t="s">
        <v>198</v>
      </c>
      <c r="E208" s="25" t="s">
        <v>482</v>
      </c>
      <c r="F208" s="3" t="s">
        <v>105</v>
      </c>
      <c r="G208" s="3" t="s">
        <v>55</v>
      </c>
      <c r="J208" s="13"/>
      <c r="K208" s="13"/>
      <c r="L208" s="3" t="s">
        <v>257</v>
      </c>
      <c r="M208" s="3" t="s">
        <v>143</v>
      </c>
      <c r="N208" s="3" t="s">
        <v>198</v>
      </c>
    </row>
    <row r="209" customFormat="false" ht="13.8" hidden="false" customHeight="false" outlineLevel="0" collapsed="false">
      <c r="A209" s="3" t="n">
        <v>208</v>
      </c>
      <c r="B209" s="3" t="s">
        <v>571</v>
      </c>
      <c r="C209" s="3" t="s">
        <v>105</v>
      </c>
      <c r="D209" s="3" t="s">
        <v>61</v>
      </c>
      <c r="E209" s="25" t="s">
        <v>896</v>
      </c>
      <c r="F209" s="3"/>
      <c r="G209" s="3"/>
      <c r="J209" s="13" t="str">
        <f aca="false">_xlfn.IFS(F209="","",M209=F209,1,M209&lt;&gt;F209,0)</f>
        <v/>
      </c>
      <c r="K209" s="13" t="str">
        <f aca="false">_xlfn.IFS(G209="","",N209=G209,1,N209&lt;&gt;G209,0)</f>
        <v/>
      </c>
      <c r="L209" s="3"/>
      <c r="M209" s="3" t="s">
        <v>105</v>
      </c>
      <c r="N209" s="3" t="s">
        <v>61</v>
      </c>
    </row>
    <row r="210" customFormat="false" ht="13.8" hidden="false" customHeight="false" outlineLevel="0" collapsed="false">
      <c r="A210" s="3" t="n">
        <v>209</v>
      </c>
      <c r="B210" s="3" t="s">
        <v>822</v>
      </c>
      <c r="C210" s="3" t="s">
        <v>105</v>
      </c>
      <c r="D210" s="3" t="s">
        <v>61</v>
      </c>
      <c r="E210" s="25" t="s">
        <v>896</v>
      </c>
      <c r="F210" s="3"/>
      <c r="G210" s="3"/>
      <c r="J210" s="13" t="str">
        <f aca="false">_xlfn.IFS(F210="","",M210=F210,1,M210&lt;&gt;F210,0)</f>
        <v/>
      </c>
      <c r="K210" s="13" t="str">
        <f aca="false">_xlfn.IFS(G210="","",N210=G210,1,N210&lt;&gt;G210,0)</f>
        <v/>
      </c>
      <c r="L210" s="3"/>
      <c r="M210" s="3" t="s">
        <v>105</v>
      </c>
      <c r="N210" s="3" t="s">
        <v>61</v>
      </c>
    </row>
    <row r="211" customFormat="false" ht="13.8" hidden="false" customHeight="false" outlineLevel="0" collapsed="false">
      <c r="A211" s="3" t="n">
        <v>210</v>
      </c>
      <c r="B211" s="3" t="s">
        <v>283</v>
      </c>
      <c r="C211" s="3" t="s">
        <v>105</v>
      </c>
      <c r="D211" s="3" t="s">
        <v>77</v>
      </c>
      <c r="E211" s="25" t="s">
        <v>482</v>
      </c>
      <c r="F211" s="3" t="s">
        <v>105</v>
      </c>
      <c r="G211" s="3" t="s">
        <v>61</v>
      </c>
      <c r="J211" s="13" t="n">
        <f aca="false">_xlfn.IFS(F211="","",M211=F211,1,M211&lt;&gt;F211,0)</f>
        <v>1</v>
      </c>
      <c r="K211" s="13" t="n">
        <f aca="false">_xlfn.IFS(G211="","",N211=G211,1,N211&lt;&gt;G211,0)</f>
        <v>0</v>
      </c>
      <c r="L211" s="3"/>
      <c r="M211" s="3" t="s">
        <v>105</v>
      </c>
      <c r="N211" s="3" t="s">
        <v>894</v>
      </c>
    </row>
    <row r="212" customFormat="false" ht="13.8" hidden="false" customHeight="false" outlineLevel="0" collapsed="false">
      <c r="A212" s="3" t="n">
        <v>211</v>
      </c>
      <c r="B212" s="3" t="s">
        <v>284</v>
      </c>
      <c r="C212" s="3" t="s">
        <v>105</v>
      </c>
      <c r="D212" s="3" t="s">
        <v>61</v>
      </c>
      <c r="E212" s="25" t="s">
        <v>896</v>
      </c>
      <c r="F212" s="3"/>
      <c r="G212" s="3"/>
      <c r="J212" s="13" t="str">
        <f aca="false">_xlfn.IFS(F212="","",M212=F212,1,M212&lt;&gt;F212,0)</f>
        <v/>
      </c>
      <c r="K212" s="13" t="str">
        <f aca="false">_xlfn.IFS(G212="","",N212=G212,1,N212&lt;&gt;G212,0)</f>
        <v/>
      </c>
      <c r="L212" s="3"/>
      <c r="M212" s="3" t="s">
        <v>105</v>
      </c>
      <c r="N212" s="3" t="s">
        <v>61</v>
      </c>
    </row>
    <row r="213" customFormat="false" ht="13.8" hidden="false" customHeight="false" outlineLevel="0" collapsed="false">
      <c r="A213" s="3" t="n">
        <v>212</v>
      </c>
      <c r="B213" s="3" t="s">
        <v>852</v>
      </c>
      <c r="C213" s="3" t="s">
        <v>105</v>
      </c>
      <c r="D213" s="3" t="s">
        <v>61</v>
      </c>
      <c r="E213" s="25" t="s">
        <v>482</v>
      </c>
      <c r="F213" s="3" t="s">
        <v>105</v>
      </c>
      <c r="G213" s="3" t="s">
        <v>61</v>
      </c>
      <c r="J213" s="13" t="n">
        <f aca="false">_xlfn.IFS(F213="","",M213=F213,1,M213&lt;&gt;F213,0)</f>
        <v>1</v>
      </c>
      <c r="K213" s="13" t="n">
        <f aca="false">_xlfn.IFS(G213="","",N213=G213,1,N213&lt;&gt;G213,0)</f>
        <v>1</v>
      </c>
      <c r="L213" s="3"/>
      <c r="M213" s="3" t="s">
        <v>105</v>
      </c>
      <c r="N213" s="3" t="s">
        <v>61</v>
      </c>
    </row>
    <row r="214" customFormat="false" ht="13.8" hidden="false" customHeight="false" outlineLevel="0" collapsed="false">
      <c r="A214" s="3" t="n">
        <v>213</v>
      </c>
      <c r="B214" s="3" t="s">
        <v>412</v>
      </c>
      <c r="C214" s="3" t="s">
        <v>105</v>
      </c>
      <c r="D214" s="3" t="s">
        <v>61</v>
      </c>
      <c r="E214" s="25" t="s">
        <v>482</v>
      </c>
      <c r="F214" s="3" t="s">
        <v>105</v>
      </c>
      <c r="G214" s="3" t="s">
        <v>61</v>
      </c>
      <c r="J214" s="13" t="n">
        <f aca="false">_xlfn.IFS(F214="","",M214=F214,1,M214&lt;&gt;F214,0)</f>
        <v>1</v>
      </c>
      <c r="K214" s="13" t="n">
        <f aca="false">_xlfn.IFS(G214="","",N214=G214,1,N214&lt;&gt;G214,0)</f>
        <v>1</v>
      </c>
      <c r="L214" s="3"/>
      <c r="M214" s="3" t="s">
        <v>105</v>
      </c>
      <c r="N214" s="3" t="s">
        <v>61</v>
      </c>
    </row>
    <row r="215" customFormat="false" ht="13.8" hidden="false" customHeight="false" outlineLevel="0" collapsed="false">
      <c r="A215" s="3" t="n">
        <v>214</v>
      </c>
      <c r="B215" s="3" t="s">
        <v>240</v>
      </c>
      <c r="C215" s="3" t="s">
        <v>105</v>
      </c>
      <c r="D215" s="3" t="s">
        <v>77</v>
      </c>
      <c r="E215" s="25" t="s">
        <v>896</v>
      </c>
      <c r="F215" s="3"/>
      <c r="G215" s="3"/>
      <c r="J215" s="13" t="str">
        <f aca="false">_xlfn.IFS(F215="","",M215=F215,1,M215&lt;&gt;F215,0)</f>
        <v/>
      </c>
      <c r="K215" s="13" t="str">
        <f aca="false">_xlfn.IFS(G215="","",N215=G215,1,N215&lt;&gt;G215,0)</f>
        <v/>
      </c>
      <c r="L215" s="3"/>
      <c r="M215" s="3" t="s">
        <v>105</v>
      </c>
      <c r="N215" s="3" t="s">
        <v>894</v>
      </c>
    </row>
    <row r="216" customFormat="false" ht="13.8" hidden="false" customHeight="false" outlineLevel="0" collapsed="false">
      <c r="A216" s="3" t="n">
        <v>215</v>
      </c>
      <c r="B216" s="3" t="s">
        <v>344</v>
      </c>
      <c r="C216" s="3" t="s">
        <v>105</v>
      </c>
      <c r="D216" s="3" t="s">
        <v>61</v>
      </c>
      <c r="E216" s="25" t="s">
        <v>891</v>
      </c>
      <c r="F216" s="3" t="s">
        <v>164</v>
      </c>
      <c r="G216" s="3" t="s">
        <v>63</v>
      </c>
      <c r="J216" s="13" t="n">
        <f aca="false">_xlfn.IFS(F216="","",M216=F216,1,M216&lt;&gt;F216,0)</f>
        <v>0</v>
      </c>
      <c r="K216" s="13" t="n">
        <f aca="false">_xlfn.IFS(G216="","",N216=G216,1,N216&lt;&gt;G216,0)</f>
        <v>0</v>
      </c>
      <c r="L216" s="3"/>
      <c r="M216" s="3" t="s">
        <v>105</v>
      </c>
      <c r="N216" s="3" t="s">
        <v>61</v>
      </c>
    </row>
    <row r="217" customFormat="false" ht="13.8" hidden="false" customHeight="false" outlineLevel="0" collapsed="false">
      <c r="A217" s="3" t="n">
        <v>216</v>
      </c>
      <c r="B217" s="3" t="s">
        <v>665</v>
      </c>
      <c r="C217" s="3" t="s">
        <v>105</v>
      </c>
      <c r="D217" s="3" t="s">
        <v>61</v>
      </c>
      <c r="E217" s="25" t="s">
        <v>896</v>
      </c>
      <c r="F217" s="3"/>
      <c r="G217" s="3"/>
      <c r="J217" s="13" t="str">
        <f aca="false">_xlfn.IFS(F217="","",M217=F217,1,M217&lt;&gt;F217,0)</f>
        <v/>
      </c>
      <c r="K217" s="13" t="str">
        <f aca="false">_xlfn.IFS(G217="","",N217=G217,1,N217&lt;&gt;G217,0)</f>
        <v/>
      </c>
      <c r="L217" s="3"/>
      <c r="M217" s="3" t="s">
        <v>105</v>
      </c>
      <c r="N217" s="3" t="s">
        <v>61</v>
      </c>
    </row>
    <row r="218" customFormat="false" ht="13.8" hidden="false" customHeight="false" outlineLevel="0" collapsed="false">
      <c r="A218" s="3" t="n">
        <v>217</v>
      </c>
      <c r="B218" s="3" t="s">
        <v>158</v>
      </c>
      <c r="C218" s="3" t="s">
        <v>105</v>
      </c>
      <c r="D218" s="3" t="s">
        <v>61</v>
      </c>
      <c r="E218" s="25" t="s">
        <v>482</v>
      </c>
      <c r="F218" s="3" t="s">
        <v>81</v>
      </c>
      <c r="G218" s="3"/>
      <c r="J218" s="13" t="n">
        <f aca="false">_xlfn.IFS(F218="","",M218=F218,1,M218&lt;&gt;F218,0)</f>
        <v>0</v>
      </c>
      <c r="K218" s="13" t="str">
        <f aca="false">_xlfn.IFS(G218="","",N218=G218,1,N218&lt;&gt;G218,0)</f>
        <v/>
      </c>
      <c r="L218" s="3"/>
      <c r="M218" s="3" t="s">
        <v>105</v>
      </c>
      <c r="N218" s="3" t="s">
        <v>61</v>
      </c>
    </row>
    <row r="219" customFormat="false" ht="13.8" hidden="false" customHeight="false" outlineLevel="0" collapsed="false">
      <c r="A219" s="3" t="n">
        <v>218</v>
      </c>
      <c r="B219" s="3" t="s">
        <v>171</v>
      </c>
      <c r="C219" s="3" t="s">
        <v>105</v>
      </c>
      <c r="D219" s="3" t="s">
        <v>61</v>
      </c>
      <c r="E219" s="25" t="s">
        <v>482</v>
      </c>
      <c r="F219" s="3" t="s">
        <v>105</v>
      </c>
      <c r="G219" s="3" t="s">
        <v>61</v>
      </c>
      <c r="J219" s="13" t="n">
        <f aca="false">_xlfn.IFS(F219="","",M219=F219,1,M219&lt;&gt;F219,0)</f>
        <v>1</v>
      </c>
      <c r="K219" s="13" t="n">
        <f aca="false">_xlfn.IFS(G219="","",N219=G219,1,N219&lt;&gt;G219,0)</f>
        <v>1</v>
      </c>
      <c r="L219" s="3"/>
      <c r="M219" s="3" t="s">
        <v>105</v>
      </c>
      <c r="N219" s="3" t="s">
        <v>61</v>
      </c>
    </row>
    <row r="220" customFormat="false" ht="13.8" hidden="false" customHeight="false" outlineLevel="0" collapsed="false">
      <c r="A220" s="3" t="n">
        <v>219</v>
      </c>
      <c r="B220" s="3" t="s">
        <v>389</v>
      </c>
      <c r="C220" s="3" t="s">
        <v>105</v>
      </c>
      <c r="D220" s="3" t="s">
        <v>61</v>
      </c>
      <c r="E220" s="25" t="s">
        <v>896</v>
      </c>
      <c r="F220" s="3"/>
      <c r="G220" s="3"/>
      <c r="J220" s="13" t="str">
        <f aca="false">_xlfn.IFS(F220="","",M220=F220,1,M220&lt;&gt;F220,0)</f>
        <v/>
      </c>
      <c r="K220" s="13" t="str">
        <f aca="false">_xlfn.IFS(G220="","",N220=G220,1,N220&lt;&gt;G220,0)</f>
        <v/>
      </c>
      <c r="L220" s="3"/>
      <c r="M220" s="3" t="s">
        <v>105</v>
      </c>
      <c r="N220" s="3" t="s">
        <v>61</v>
      </c>
    </row>
    <row r="221" customFormat="false" ht="13.8" hidden="false" customHeight="false" outlineLevel="0" collapsed="false">
      <c r="A221" s="3" t="n">
        <v>220</v>
      </c>
      <c r="B221" s="3" t="s">
        <v>599</v>
      </c>
      <c r="C221" s="3" t="s">
        <v>105</v>
      </c>
      <c r="D221" s="3" t="s">
        <v>77</v>
      </c>
      <c r="E221" s="25" t="s">
        <v>891</v>
      </c>
      <c r="F221" s="3" t="s">
        <v>164</v>
      </c>
      <c r="G221" s="3" t="s">
        <v>63</v>
      </c>
      <c r="J221" s="13" t="n">
        <f aca="false">_xlfn.IFS(F221="","",M221=F221,1,M221&lt;&gt;F221,0)</f>
        <v>0</v>
      </c>
      <c r="K221" s="13" t="n">
        <f aca="false">_xlfn.IFS(G221="","",N221=G221,1,N221&lt;&gt;G221,0)</f>
        <v>0</v>
      </c>
      <c r="L221" s="3"/>
      <c r="M221" s="3" t="s">
        <v>105</v>
      </c>
      <c r="N221" s="3" t="s">
        <v>894</v>
      </c>
    </row>
    <row r="222" customFormat="false" ht="13.8" hidden="false" customHeight="false" outlineLevel="0" collapsed="false">
      <c r="A222" s="3" t="n">
        <v>221</v>
      </c>
      <c r="B222" s="3" t="s">
        <v>241</v>
      </c>
      <c r="C222" s="3" t="s">
        <v>143</v>
      </c>
      <c r="D222" s="3" t="s">
        <v>198</v>
      </c>
      <c r="E222" s="25" t="s">
        <v>896</v>
      </c>
      <c r="F222" s="3"/>
      <c r="G222" s="3"/>
      <c r="J222" s="13"/>
      <c r="K222" s="13"/>
      <c r="L222" s="3" t="s">
        <v>257</v>
      </c>
      <c r="M222" s="3" t="s">
        <v>143</v>
      </c>
      <c r="N222" s="3" t="s">
        <v>198</v>
      </c>
    </row>
    <row r="223" customFormat="false" ht="13.8" hidden="false" customHeight="false" outlineLevel="0" collapsed="false">
      <c r="A223" s="3" t="n">
        <v>222</v>
      </c>
      <c r="B223" s="3" t="s">
        <v>718</v>
      </c>
      <c r="C223" s="3" t="s">
        <v>143</v>
      </c>
      <c r="D223" s="3" t="s">
        <v>589</v>
      </c>
      <c r="E223" s="25" t="s">
        <v>891</v>
      </c>
      <c r="F223" s="3" t="s">
        <v>164</v>
      </c>
      <c r="G223" s="3" t="s">
        <v>63</v>
      </c>
      <c r="J223" s="13" t="n">
        <f aca="false">_xlfn.IFS(F223="","",M223=F223,1,M223&lt;&gt;F223,0)</f>
        <v>0</v>
      </c>
      <c r="K223" s="13" t="n">
        <f aca="false">_xlfn.IFS(G223="","",N223=G223,1,N223&lt;&gt;G223,0)</f>
        <v>0</v>
      </c>
      <c r="L223" s="3"/>
      <c r="M223" s="3" t="s">
        <v>143</v>
      </c>
      <c r="N223" s="3" t="s">
        <v>589</v>
      </c>
    </row>
    <row r="224" customFormat="false" ht="13.8" hidden="false" customHeight="false" outlineLevel="0" collapsed="false">
      <c r="A224" s="3" t="n">
        <v>223</v>
      </c>
      <c r="B224" s="3" t="s">
        <v>853</v>
      </c>
      <c r="C224" s="3" t="s">
        <v>143</v>
      </c>
      <c r="D224" s="3" t="s">
        <v>589</v>
      </c>
      <c r="E224" s="25" t="s">
        <v>896</v>
      </c>
      <c r="F224" s="3"/>
      <c r="G224" s="3"/>
      <c r="J224" s="13" t="str">
        <f aca="false">_xlfn.IFS(F224="","",M224=F224,1,M224&lt;&gt;F224,0)</f>
        <v/>
      </c>
      <c r="K224" s="13" t="str">
        <f aca="false">_xlfn.IFS(G224="","",N224=G224,1,N224&lt;&gt;G224,0)</f>
        <v/>
      </c>
      <c r="L224" s="3"/>
      <c r="M224" s="3" t="s">
        <v>143</v>
      </c>
      <c r="N224" s="3" t="s">
        <v>589</v>
      </c>
    </row>
    <row r="225" customFormat="false" ht="13.8" hidden="false" customHeight="false" outlineLevel="0" collapsed="false">
      <c r="A225" s="3" t="n">
        <v>224</v>
      </c>
      <c r="B225" s="3" t="s">
        <v>569</v>
      </c>
      <c r="C225" s="3" t="s">
        <v>105</v>
      </c>
      <c r="D225" s="3" t="s">
        <v>61</v>
      </c>
      <c r="E225" s="25" t="s">
        <v>482</v>
      </c>
      <c r="F225" s="3" t="s">
        <v>81</v>
      </c>
      <c r="G225" s="3"/>
      <c r="J225" s="13" t="n">
        <f aca="false">_xlfn.IFS(F225="","",M225=F225,1,M225&lt;&gt;F225,0)</f>
        <v>0</v>
      </c>
      <c r="K225" s="13" t="str">
        <f aca="false">_xlfn.IFS(G225="","",N225=G225,1,N225&lt;&gt;G225,0)</f>
        <v/>
      </c>
      <c r="L225" s="3"/>
      <c r="M225" s="3" t="s">
        <v>105</v>
      </c>
      <c r="N225" s="3" t="s">
        <v>61</v>
      </c>
    </row>
    <row r="226" customFormat="false" ht="13.8" hidden="false" customHeight="false" outlineLevel="0" collapsed="false">
      <c r="A226" s="3" t="n">
        <v>225</v>
      </c>
      <c r="B226" s="3" t="s">
        <v>602</v>
      </c>
      <c r="C226" s="3" t="s">
        <v>143</v>
      </c>
      <c r="D226" s="3" t="s">
        <v>256</v>
      </c>
      <c r="E226" s="25" t="s">
        <v>482</v>
      </c>
      <c r="F226" s="3" t="s">
        <v>143</v>
      </c>
      <c r="G226" s="3" t="s">
        <v>160</v>
      </c>
      <c r="J226" s="13"/>
      <c r="K226" s="13"/>
      <c r="L226" s="3" t="s">
        <v>257</v>
      </c>
      <c r="M226" s="3" t="s">
        <v>143</v>
      </c>
      <c r="N226" s="3" t="s">
        <v>256</v>
      </c>
    </row>
    <row r="227" customFormat="false" ht="13.8" hidden="false" customHeight="false" outlineLevel="0" collapsed="false">
      <c r="A227" s="3" t="n">
        <v>226</v>
      </c>
      <c r="B227" s="3" t="s">
        <v>242</v>
      </c>
      <c r="C227" s="3" t="s">
        <v>105</v>
      </c>
      <c r="D227" s="3" t="s">
        <v>61</v>
      </c>
      <c r="E227" s="25" t="s">
        <v>891</v>
      </c>
      <c r="F227" s="3" t="s">
        <v>164</v>
      </c>
      <c r="G227" s="3" t="s">
        <v>154</v>
      </c>
      <c r="J227" s="13" t="n">
        <f aca="false">_xlfn.IFS(F227="","",M227=F227,1,M227&lt;&gt;F227,0)</f>
        <v>0</v>
      </c>
      <c r="K227" s="13" t="n">
        <f aca="false">_xlfn.IFS(G227="","",N227=G227,1,N227&lt;&gt;G227,0)</f>
        <v>0</v>
      </c>
      <c r="L227" s="3"/>
      <c r="M227" s="3" t="s">
        <v>105</v>
      </c>
      <c r="N227" s="3" t="s">
        <v>61</v>
      </c>
    </row>
    <row r="228" customFormat="false" ht="13.8" hidden="false" customHeight="false" outlineLevel="0" collapsed="false">
      <c r="A228" s="3" t="n">
        <v>227</v>
      </c>
      <c r="B228" s="3" t="s">
        <v>317</v>
      </c>
      <c r="C228" s="3" t="s">
        <v>105</v>
      </c>
      <c r="D228" s="3" t="s">
        <v>61</v>
      </c>
      <c r="E228" s="25" t="s">
        <v>891</v>
      </c>
      <c r="F228" s="3" t="s">
        <v>164</v>
      </c>
      <c r="G228" s="3" t="s">
        <v>63</v>
      </c>
      <c r="J228" s="13" t="n">
        <f aca="false">_xlfn.IFS(F228="","",M228=F228,1,M228&lt;&gt;F228,0)</f>
        <v>0</v>
      </c>
      <c r="K228" s="13" t="n">
        <f aca="false">_xlfn.IFS(G228="","",N228=G228,1,N228&lt;&gt;G228,0)</f>
        <v>0</v>
      </c>
      <c r="L228" s="3"/>
      <c r="M228" s="3" t="s">
        <v>105</v>
      </c>
      <c r="N228" s="3" t="s">
        <v>61</v>
      </c>
    </row>
    <row r="229" customFormat="false" ht="13.8" hidden="false" customHeight="false" outlineLevel="0" collapsed="false">
      <c r="A229" s="3" t="n">
        <v>228</v>
      </c>
      <c r="B229" s="3" t="s">
        <v>654</v>
      </c>
      <c r="C229" s="3" t="s">
        <v>105</v>
      </c>
      <c r="D229" s="3" t="s">
        <v>61</v>
      </c>
      <c r="E229" s="25" t="s">
        <v>896</v>
      </c>
      <c r="F229" s="3"/>
      <c r="G229" s="3"/>
      <c r="J229" s="13" t="str">
        <f aca="false">_xlfn.IFS(F229="","",M229=F229,1,M229&lt;&gt;F229,0)</f>
        <v/>
      </c>
      <c r="K229" s="13" t="str">
        <f aca="false">_xlfn.IFS(G229="","",N229=G229,1,N229&lt;&gt;G229,0)</f>
        <v/>
      </c>
      <c r="L229" s="3"/>
      <c r="M229" s="3" t="s">
        <v>105</v>
      </c>
      <c r="N229" s="3" t="s">
        <v>61</v>
      </c>
    </row>
    <row r="230" customFormat="false" ht="13.8" hidden="false" customHeight="false" outlineLevel="0" collapsed="false">
      <c r="A230" s="3" t="n">
        <v>229</v>
      </c>
      <c r="B230" s="3" t="s">
        <v>285</v>
      </c>
      <c r="C230" s="3" t="s">
        <v>105</v>
      </c>
      <c r="D230" s="3" t="s">
        <v>61</v>
      </c>
      <c r="E230" s="25" t="s">
        <v>896</v>
      </c>
      <c r="F230" s="3"/>
      <c r="G230" s="3"/>
      <c r="J230" s="13" t="str">
        <f aca="false">_xlfn.IFS(F230="","",M230=F230,1,M230&lt;&gt;F230,0)</f>
        <v/>
      </c>
      <c r="K230" s="13" t="str">
        <f aca="false">_xlfn.IFS(G230="","",N230=G230,1,N230&lt;&gt;G230,0)</f>
        <v/>
      </c>
      <c r="L230" s="3"/>
      <c r="M230" s="3" t="s">
        <v>105</v>
      </c>
      <c r="N230" s="3" t="s">
        <v>61</v>
      </c>
    </row>
    <row r="231" customFormat="false" ht="13.8" hidden="false" customHeight="false" outlineLevel="0" collapsed="false">
      <c r="A231" s="3" t="n">
        <v>230</v>
      </c>
      <c r="B231" s="3" t="s">
        <v>674</v>
      </c>
      <c r="C231" s="3" t="s">
        <v>105</v>
      </c>
      <c r="D231" s="3" t="s">
        <v>61</v>
      </c>
      <c r="E231" s="25" t="s">
        <v>482</v>
      </c>
      <c r="F231" s="3" t="s">
        <v>105</v>
      </c>
      <c r="G231" s="3" t="s">
        <v>61</v>
      </c>
      <c r="J231" s="13" t="n">
        <f aca="false">_xlfn.IFS(F231="","",M231=F231,1,M231&lt;&gt;F231,0)</f>
        <v>1</v>
      </c>
      <c r="K231" s="13" t="n">
        <f aca="false">_xlfn.IFS(G231="","",N231=G231,1,N231&lt;&gt;G231,0)</f>
        <v>1</v>
      </c>
      <c r="L231" s="3"/>
      <c r="M231" s="3" t="s">
        <v>105</v>
      </c>
      <c r="N231" s="3" t="s">
        <v>61</v>
      </c>
    </row>
    <row r="232" customFormat="false" ht="13.8" hidden="false" customHeight="false" outlineLevel="0" collapsed="false">
      <c r="A232" s="3" t="n">
        <v>231</v>
      </c>
      <c r="B232" s="3" t="s">
        <v>835</v>
      </c>
      <c r="C232" s="3" t="s">
        <v>105</v>
      </c>
      <c r="D232" s="3" t="s">
        <v>61</v>
      </c>
      <c r="E232" s="25" t="s">
        <v>482</v>
      </c>
      <c r="F232" s="3" t="s">
        <v>105</v>
      </c>
      <c r="G232" s="3" t="s">
        <v>61</v>
      </c>
      <c r="J232" s="13" t="n">
        <f aca="false">_xlfn.IFS(F232="","",M232=F232,1,M232&lt;&gt;F232,0)</f>
        <v>1</v>
      </c>
      <c r="K232" s="13" t="n">
        <f aca="false">_xlfn.IFS(G232="","",N232=G232,1,N232&lt;&gt;G232,0)</f>
        <v>1</v>
      </c>
      <c r="L232" s="3"/>
      <c r="M232" s="3" t="s">
        <v>105</v>
      </c>
      <c r="N232" s="3" t="s">
        <v>61</v>
      </c>
    </row>
    <row r="233" customFormat="false" ht="13.8" hidden="false" customHeight="false" outlineLevel="0" collapsed="false">
      <c r="A233" s="3" t="n">
        <v>232</v>
      </c>
      <c r="B233" s="3" t="s">
        <v>402</v>
      </c>
      <c r="C233" s="3" t="s">
        <v>105</v>
      </c>
      <c r="D233" s="3" t="s">
        <v>61</v>
      </c>
      <c r="E233" s="25" t="s">
        <v>482</v>
      </c>
      <c r="F233" s="3" t="s">
        <v>81</v>
      </c>
      <c r="G233" s="3"/>
      <c r="J233" s="13" t="n">
        <f aca="false">_xlfn.IFS(F233="","",M233=F233,1,M233&lt;&gt;F233,0)</f>
        <v>0</v>
      </c>
      <c r="K233" s="13" t="str">
        <f aca="false">_xlfn.IFS(G233="","",N233=G233,1,N233&lt;&gt;G233,0)</f>
        <v/>
      </c>
      <c r="L233" s="3"/>
      <c r="M233" s="3" t="s">
        <v>105</v>
      </c>
      <c r="N233" s="3" t="s">
        <v>61</v>
      </c>
    </row>
    <row r="234" customFormat="false" ht="13.8" hidden="false" customHeight="false" outlineLevel="0" collapsed="false">
      <c r="A234" s="3" t="n">
        <v>233</v>
      </c>
      <c r="B234" s="3" t="s">
        <v>811</v>
      </c>
      <c r="C234" s="3" t="s">
        <v>105</v>
      </c>
      <c r="D234" s="3" t="s">
        <v>61</v>
      </c>
      <c r="E234" s="25" t="s">
        <v>896</v>
      </c>
      <c r="F234" s="3"/>
      <c r="G234" s="3"/>
      <c r="J234" s="13" t="str">
        <f aca="false">_xlfn.IFS(F234="","",M234=F234,1,M234&lt;&gt;F234,0)</f>
        <v/>
      </c>
      <c r="K234" s="13" t="str">
        <f aca="false">_xlfn.IFS(G234="","",N234=G234,1,N234&lt;&gt;G234,0)</f>
        <v/>
      </c>
      <c r="L234" s="3"/>
      <c r="M234" s="3" t="s">
        <v>105</v>
      </c>
      <c r="N234" s="3" t="s">
        <v>61</v>
      </c>
    </row>
    <row r="235" customFormat="false" ht="13.8" hidden="false" customHeight="false" outlineLevel="0" collapsed="false">
      <c r="A235" s="3" t="n">
        <v>234</v>
      </c>
      <c r="B235" s="3" t="s">
        <v>507</v>
      </c>
      <c r="C235" s="3" t="s">
        <v>105</v>
      </c>
      <c r="D235" s="3" t="s">
        <v>61</v>
      </c>
      <c r="E235" s="25" t="s">
        <v>891</v>
      </c>
      <c r="F235" s="3" t="s">
        <v>164</v>
      </c>
      <c r="G235" s="3" t="s">
        <v>154</v>
      </c>
      <c r="J235" s="13" t="n">
        <f aca="false">_xlfn.IFS(F235="","",M235=F235,1,M235&lt;&gt;F235,0)</f>
        <v>0</v>
      </c>
      <c r="K235" s="13" t="n">
        <f aca="false">_xlfn.IFS(G235="","",N235=G235,1,N235&lt;&gt;G235,0)</f>
        <v>0</v>
      </c>
      <c r="L235" s="3"/>
      <c r="M235" s="3" t="s">
        <v>105</v>
      </c>
      <c r="N235" s="3" t="s">
        <v>61</v>
      </c>
    </row>
    <row r="236" customFormat="false" ht="13.8" hidden="false" customHeight="false" outlineLevel="0" collapsed="false">
      <c r="A236" s="3" t="n">
        <v>235</v>
      </c>
      <c r="B236" s="3" t="s">
        <v>813</v>
      </c>
      <c r="C236" s="3" t="s">
        <v>105</v>
      </c>
      <c r="D236" s="3" t="s">
        <v>61</v>
      </c>
      <c r="E236" s="25" t="s">
        <v>482</v>
      </c>
      <c r="F236" s="3" t="s">
        <v>81</v>
      </c>
      <c r="G236" s="3"/>
      <c r="J236" s="13" t="n">
        <f aca="false">_xlfn.IFS(F236="","",M236=F236,1,M236&lt;&gt;F236,0)</f>
        <v>0</v>
      </c>
      <c r="K236" s="13" t="str">
        <f aca="false">_xlfn.IFS(G236="","",N236=G236,1,N236&lt;&gt;G236,0)</f>
        <v/>
      </c>
      <c r="L236" s="3"/>
      <c r="M236" s="3" t="s">
        <v>105</v>
      </c>
      <c r="N236" s="3" t="s">
        <v>61</v>
      </c>
    </row>
    <row r="237" customFormat="false" ht="13.8" hidden="false" customHeight="false" outlineLevel="0" collapsed="false">
      <c r="A237" s="3" t="n">
        <v>236</v>
      </c>
      <c r="B237" s="3" t="s">
        <v>747</v>
      </c>
      <c r="C237" s="3" t="s">
        <v>105</v>
      </c>
      <c r="D237" s="3" t="s">
        <v>61</v>
      </c>
      <c r="E237" s="25" t="s">
        <v>891</v>
      </c>
      <c r="F237" s="3" t="s">
        <v>164</v>
      </c>
      <c r="G237" s="3" t="s">
        <v>154</v>
      </c>
      <c r="J237" s="13" t="n">
        <f aca="false">_xlfn.IFS(F237="","",M237=F237,1,M237&lt;&gt;F237,0)</f>
        <v>0</v>
      </c>
      <c r="K237" s="13" t="n">
        <f aca="false">_xlfn.IFS(G237="","",N237=G237,1,N237&lt;&gt;G237,0)</f>
        <v>0</v>
      </c>
      <c r="L237" s="3"/>
      <c r="M237" s="3" t="s">
        <v>105</v>
      </c>
      <c r="N237" s="3" t="s">
        <v>61</v>
      </c>
    </row>
    <row r="238" customFormat="false" ht="13.8" hidden="false" customHeight="false" outlineLevel="0" collapsed="false">
      <c r="A238" s="3" t="n">
        <v>237</v>
      </c>
      <c r="B238" s="3" t="s">
        <v>667</v>
      </c>
      <c r="C238" s="3" t="s">
        <v>143</v>
      </c>
      <c r="D238" s="3" t="s">
        <v>288</v>
      </c>
      <c r="E238" s="25" t="s">
        <v>482</v>
      </c>
      <c r="F238" s="3" t="s">
        <v>105</v>
      </c>
      <c r="G238" s="3" t="s">
        <v>61</v>
      </c>
      <c r="J238" s="13"/>
      <c r="K238" s="13"/>
      <c r="L238" s="3" t="s">
        <v>257</v>
      </c>
      <c r="M238" s="3" t="s">
        <v>143</v>
      </c>
      <c r="N238" s="3" t="s">
        <v>288</v>
      </c>
    </row>
    <row r="239" customFormat="false" ht="13.8" hidden="false" customHeight="false" outlineLevel="0" collapsed="false">
      <c r="A239" s="3" t="n">
        <v>238</v>
      </c>
      <c r="B239" s="3" t="s">
        <v>337</v>
      </c>
      <c r="C239" s="3" t="s">
        <v>105</v>
      </c>
      <c r="D239" s="3" t="s">
        <v>61</v>
      </c>
      <c r="E239" s="25" t="s">
        <v>896</v>
      </c>
      <c r="F239" s="3"/>
      <c r="G239" s="3"/>
      <c r="J239" s="13" t="str">
        <f aca="false">_xlfn.IFS(F239="","",M239=F239,1,M239&lt;&gt;F239,0)</f>
        <v/>
      </c>
      <c r="K239" s="13" t="str">
        <f aca="false">_xlfn.IFS(G239="","",N239=G239,1,N239&lt;&gt;G239,0)</f>
        <v/>
      </c>
      <c r="L239" s="3"/>
      <c r="M239" s="3" t="s">
        <v>105</v>
      </c>
      <c r="N239" s="3" t="s">
        <v>61</v>
      </c>
    </row>
    <row r="240" customFormat="false" ht="13.8" hidden="false" customHeight="false" outlineLevel="0" collapsed="false">
      <c r="A240" s="3" t="n">
        <v>239</v>
      </c>
      <c r="B240" s="3" t="s">
        <v>655</v>
      </c>
      <c r="C240" s="3" t="s">
        <v>105</v>
      </c>
      <c r="D240" s="3" t="s">
        <v>61</v>
      </c>
      <c r="E240" s="25" t="s">
        <v>896</v>
      </c>
      <c r="F240" s="3"/>
      <c r="G240" s="3"/>
      <c r="J240" s="13" t="str">
        <f aca="false">_xlfn.IFS(F240="","",M240=F240,1,M240&lt;&gt;F240,0)</f>
        <v/>
      </c>
      <c r="K240" s="13" t="str">
        <f aca="false">_xlfn.IFS(G240="","",N240=G240,1,N240&lt;&gt;G240,0)</f>
        <v/>
      </c>
      <c r="L240" s="3"/>
      <c r="M240" s="3" t="s">
        <v>105</v>
      </c>
      <c r="N240" s="3" t="s">
        <v>61</v>
      </c>
    </row>
    <row r="241" customFormat="false" ht="13.8" hidden="false" customHeight="false" outlineLevel="0" collapsed="false">
      <c r="A241" s="3" t="n">
        <v>240</v>
      </c>
      <c r="B241" s="3" t="s">
        <v>416</v>
      </c>
      <c r="C241" s="3" t="s">
        <v>105</v>
      </c>
      <c r="D241" s="3" t="s">
        <v>61</v>
      </c>
      <c r="E241" s="25" t="s">
        <v>891</v>
      </c>
      <c r="F241" s="3" t="s">
        <v>164</v>
      </c>
      <c r="G241" s="3" t="s">
        <v>63</v>
      </c>
      <c r="J241" s="13" t="n">
        <f aca="false">_xlfn.IFS(F241="","",M241=F241,1,M241&lt;&gt;F241,0)</f>
        <v>0</v>
      </c>
      <c r="K241" s="13" t="n">
        <f aca="false">_xlfn.IFS(G241="","",N241=G241,1,N241&lt;&gt;G241,0)</f>
        <v>0</v>
      </c>
      <c r="L241" s="3"/>
      <c r="M241" s="3" t="s">
        <v>105</v>
      </c>
      <c r="N241" s="3" t="s">
        <v>61</v>
      </c>
    </row>
    <row r="242" customFormat="false" ht="13.8" hidden="false" customHeight="false" outlineLevel="0" collapsed="false">
      <c r="A242" s="3" t="n">
        <v>241</v>
      </c>
      <c r="B242" s="3" t="s">
        <v>466</v>
      </c>
      <c r="C242" s="3" t="s">
        <v>143</v>
      </c>
      <c r="D242" s="3" t="s">
        <v>198</v>
      </c>
      <c r="E242" s="25" t="s">
        <v>891</v>
      </c>
      <c r="F242" s="3" t="s">
        <v>164</v>
      </c>
      <c r="G242" s="3" t="s">
        <v>893</v>
      </c>
      <c r="J242" s="13"/>
      <c r="K242" s="13"/>
      <c r="L242" s="3" t="s">
        <v>257</v>
      </c>
      <c r="M242" s="3" t="s">
        <v>143</v>
      </c>
      <c r="N242" s="3" t="s">
        <v>198</v>
      </c>
    </row>
    <row r="243" customFormat="false" ht="13.8" hidden="false" customHeight="false" outlineLevel="0" collapsed="false">
      <c r="A243" s="3" t="n">
        <v>242</v>
      </c>
      <c r="B243" s="3" t="s">
        <v>618</v>
      </c>
      <c r="C243" s="3" t="s">
        <v>105</v>
      </c>
      <c r="D243" s="3" t="s">
        <v>61</v>
      </c>
      <c r="E243" s="25" t="s">
        <v>896</v>
      </c>
      <c r="F243" s="3"/>
      <c r="G243" s="3"/>
      <c r="J243" s="13" t="str">
        <f aca="false">_xlfn.IFS(F243="","",M243=F243,1,M243&lt;&gt;F243,0)</f>
        <v/>
      </c>
      <c r="K243" s="13" t="str">
        <f aca="false">_xlfn.IFS(G243="","",N243=G243,1,N243&lt;&gt;G243,0)</f>
        <v/>
      </c>
      <c r="L243" s="3"/>
      <c r="M243" s="3" t="s">
        <v>105</v>
      </c>
      <c r="N243" s="3" t="s">
        <v>61</v>
      </c>
    </row>
    <row r="244" customFormat="false" ht="13.8" hidden="false" customHeight="false" outlineLevel="0" collapsed="false">
      <c r="A244" s="3" t="n">
        <v>243</v>
      </c>
      <c r="B244" s="3" t="s">
        <v>547</v>
      </c>
      <c r="C244" s="3" t="s">
        <v>105</v>
      </c>
      <c r="D244" s="3" t="s">
        <v>61</v>
      </c>
      <c r="E244" s="25" t="s">
        <v>896</v>
      </c>
      <c r="F244" s="3"/>
      <c r="G244" s="3"/>
      <c r="J244" s="13" t="str">
        <f aca="false">_xlfn.IFS(F244="","",M244=F244,1,M244&lt;&gt;F244,0)</f>
        <v/>
      </c>
      <c r="K244" s="13" t="str">
        <f aca="false">_xlfn.IFS(G244="","",N244=G244,1,N244&lt;&gt;G244,0)</f>
        <v/>
      </c>
      <c r="L244" s="3"/>
      <c r="M244" s="3" t="s">
        <v>105</v>
      </c>
      <c r="N244" s="3" t="s">
        <v>61</v>
      </c>
    </row>
    <row r="245" customFormat="false" ht="13.8" hidden="false" customHeight="false" outlineLevel="0" collapsed="false">
      <c r="A245" s="3" t="n">
        <v>244</v>
      </c>
      <c r="B245" s="3" t="s">
        <v>469</v>
      </c>
      <c r="C245" s="3" t="s">
        <v>105</v>
      </c>
      <c r="D245" s="3" t="s">
        <v>61</v>
      </c>
      <c r="E245" s="25" t="s">
        <v>482</v>
      </c>
      <c r="F245" s="3" t="s">
        <v>105</v>
      </c>
      <c r="G245" s="3" t="s">
        <v>894</v>
      </c>
      <c r="J245" s="13" t="n">
        <f aca="false">_xlfn.IFS(F245="","",M245=F245,1,M245&lt;&gt;F245,0)</f>
        <v>1</v>
      </c>
      <c r="K245" s="13" t="n">
        <f aca="false">_xlfn.IFS(G245="","",N245=G245,1,N245&lt;&gt;G245,0)</f>
        <v>0</v>
      </c>
      <c r="L245" s="3"/>
      <c r="M245" s="3" t="s">
        <v>105</v>
      </c>
      <c r="N245" s="3" t="s">
        <v>61</v>
      </c>
    </row>
    <row r="246" customFormat="false" ht="13.8" hidden="false" customHeight="false" outlineLevel="0" collapsed="false">
      <c r="A246" s="3" t="n">
        <v>245</v>
      </c>
      <c r="B246" s="3" t="s">
        <v>832</v>
      </c>
      <c r="C246" s="3" t="s">
        <v>105</v>
      </c>
      <c r="D246" s="3" t="s">
        <v>61</v>
      </c>
      <c r="E246" s="25" t="s">
        <v>482</v>
      </c>
      <c r="F246" s="3" t="s">
        <v>105</v>
      </c>
      <c r="G246" s="3" t="s">
        <v>894</v>
      </c>
      <c r="J246" s="13" t="n">
        <f aca="false">_xlfn.IFS(F246="","",M246=F246,1,M246&lt;&gt;F246,0)</f>
        <v>1</v>
      </c>
      <c r="K246" s="13" t="n">
        <f aca="false">_xlfn.IFS(G246="","",N246=G246,1,N246&lt;&gt;G246,0)</f>
        <v>0</v>
      </c>
      <c r="L246" s="3"/>
      <c r="M246" s="3" t="s">
        <v>105</v>
      </c>
      <c r="N246" s="3" t="s">
        <v>61</v>
      </c>
    </row>
    <row r="247" customFormat="false" ht="13.8" hidden="false" customHeight="false" outlineLevel="0" collapsed="false">
      <c r="A247" s="3" t="n">
        <v>246</v>
      </c>
      <c r="B247" s="3" t="s">
        <v>407</v>
      </c>
      <c r="C247" s="3" t="s">
        <v>105</v>
      </c>
      <c r="D247" s="3" t="s">
        <v>61</v>
      </c>
      <c r="E247" s="25" t="s">
        <v>896</v>
      </c>
      <c r="F247" s="3"/>
      <c r="G247" s="3"/>
      <c r="J247" s="13" t="str">
        <f aca="false">_xlfn.IFS(F247="","",M247=F247,1,M247&lt;&gt;F247,0)</f>
        <v/>
      </c>
      <c r="K247" s="13" t="str">
        <f aca="false">_xlfn.IFS(G247="","",N247=G247,1,N247&lt;&gt;G247,0)</f>
        <v/>
      </c>
      <c r="L247" s="3"/>
      <c r="M247" s="3" t="s">
        <v>105</v>
      </c>
      <c r="N247" s="3" t="s">
        <v>61</v>
      </c>
    </row>
    <row r="248" customFormat="false" ht="13.8" hidden="false" customHeight="false" outlineLevel="0" collapsed="false">
      <c r="A248" s="3" t="n">
        <v>247</v>
      </c>
      <c r="B248" s="3" t="s">
        <v>349</v>
      </c>
      <c r="C248" s="3" t="s">
        <v>143</v>
      </c>
      <c r="D248" s="3" t="s">
        <v>198</v>
      </c>
      <c r="E248" s="25" t="s">
        <v>896</v>
      </c>
      <c r="F248" s="3"/>
      <c r="G248" s="3"/>
      <c r="J248" s="13"/>
      <c r="K248" s="13"/>
      <c r="L248" s="3" t="s">
        <v>257</v>
      </c>
      <c r="M248" s="3" t="s">
        <v>143</v>
      </c>
      <c r="N248" s="3" t="s">
        <v>198</v>
      </c>
    </row>
    <row r="249" customFormat="false" ht="13.8" hidden="false" customHeight="false" outlineLevel="0" collapsed="false">
      <c r="A249" s="3" t="n">
        <v>248</v>
      </c>
      <c r="B249" s="3" t="s">
        <v>519</v>
      </c>
      <c r="C249" s="3" t="s">
        <v>105</v>
      </c>
      <c r="D249" s="3" t="s">
        <v>61</v>
      </c>
      <c r="E249" s="25" t="s">
        <v>891</v>
      </c>
      <c r="F249" s="3" t="s">
        <v>164</v>
      </c>
      <c r="G249" s="3" t="s">
        <v>884</v>
      </c>
      <c r="J249" s="13" t="n">
        <f aca="false">_xlfn.IFS(F249="","",M249=F249,1,M249&lt;&gt;F249,0)</f>
        <v>0</v>
      </c>
      <c r="K249" s="13" t="n">
        <f aca="false">_xlfn.IFS(G249="","",N249=G249,1,N249&lt;&gt;G249,0)</f>
        <v>0</v>
      </c>
      <c r="L249" s="3"/>
      <c r="M249" s="3" t="s">
        <v>105</v>
      </c>
      <c r="N249" s="3" t="s">
        <v>61</v>
      </c>
    </row>
    <row r="250" customFormat="false" ht="13.8" hidden="false" customHeight="false" outlineLevel="0" collapsed="false">
      <c r="A250" s="3" t="n">
        <v>249</v>
      </c>
      <c r="B250" s="3" t="s">
        <v>690</v>
      </c>
      <c r="C250" s="3" t="s">
        <v>105</v>
      </c>
      <c r="D250" s="3" t="s">
        <v>61</v>
      </c>
      <c r="E250" s="25" t="s">
        <v>891</v>
      </c>
      <c r="F250" s="3" t="s">
        <v>164</v>
      </c>
      <c r="G250" s="3" t="s">
        <v>154</v>
      </c>
      <c r="J250" s="13" t="n">
        <f aca="false">_xlfn.IFS(F250="","",M250=F250,1,M250&lt;&gt;F250,0)</f>
        <v>0</v>
      </c>
      <c r="K250" s="13" t="n">
        <f aca="false">_xlfn.IFS(G250="","",N250=G250,1,N250&lt;&gt;G250,0)</f>
        <v>0</v>
      </c>
      <c r="L250" s="3"/>
      <c r="M250" s="3" t="s">
        <v>105</v>
      </c>
      <c r="N250" s="3" t="s">
        <v>61</v>
      </c>
    </row>
    <row r="251" customFormat="false" ht="13.8" hidden="false" customHeight="false" outlineLevel="0" collapsed="false">
      <c r="A251" s="3" t="n">
        <v>250</v>
      </c>
      <c r="B251" s="3" t="s">
        <v>375</v>
      </c>
      <c r="C251" s="3" t="s">
        <v>105</v>
      </c>
      <c r="D251" s="3" t="s">
        <v>61</v>
      </c>
      <c r="E251" s="25" t="s">
        <v>896</v>
      </c>
      <c r="F251" s="3"/>
      <c r="G251" s="3"/>
      <c r="J251" s="13" t="str">
        <f aca="false">_xlfn.IFS(F251="","",M251=F251,1,M251&lt;&gt;F251,0)</f>
        <v/>
      </c>
      <c r="K251" s="13" t="str">
        <f aca="false">_xlfn.IFS(G251="","",N251=G251,1,N251&lt;&gt;G251,0)</f>
        <v/>
      </c>
      <c r="L251" s="3"/>
      <c r="M251" s="3" t="s">
        <v>105</v>
      </c>
      <c r="N251" s="3" t="s">
        <v>61</v>
      </c>
    </row>
    <row r="252" customFormat="false" ht="13.8" hidden="false" customHeight="false" outlineLevel="0" collapsed="false">
      <c r="A252" s="3" t="n">
        <v>251</v>
      </c>
      <c r="B252" s="3" t="s">
        <v>671</v>
      </c>
      <c r="C252" s="3" t="s">
        <v>143</v>
      </c>
      <c r="D252" s="3" t="s">
        <v>198</v>
      </c>
      <c r="E252" s="25" t="s">
        <v>891</v>
      </c>
      <c r="F252" s="3" t="s">
        <v>164</v>
      </c>
      <c r="G252" s="3" t="s">
        <v>63</v>
      </c>
      <c r="J252" s="13"/>
      <c r="K252" s="13"/>
      <c r="L252" s="3" t="s">
        <v>257</v>
      </c>
      <c r="M252" s="3" t="s">
        <v>143</v>
      </c>
      <c r="N252" s="3" t="s">
        <v>198</v>
      </c>
    </row>
    <row r="253" customFormat="false" ht="13.8" hidden="false" customHeight="false" outlineLevel="0" collapsed="false">
      <c r="A253" s="3" t="n">
        <v>252</v>
      </c>
      <c r="B253" s="3" t="s">
        <v>778</v>
      </c>
      <c r="C253" s="3" t="s">
        <v>105</v>
      </c>
      <c r="D253" s="3" t="s">
        <v>61</v>
      </c>
      <c r="E253" s="25" t="s">
        <v>482</v>
      </c>
      <c r="F253" s="3" t="s">
        <v>105</v>
      </c>
      <c r="G253" s="3" t="s">
        <v>894</v>
      </c>
      <c r="J253" s="13" t="n">
        <f aca="false">_xlfn.IFS(F253="","",M253=F253,1,M253&lt;&gt;F253,0)</f>
        <v>1</v>
      </c>
      <c r="K253" s="13" t="n">
        <f aca="false">_xlfn.IFS(G253="","",N253=G253,1,N253&lt;&gt;G253,0)</f>
        <v>0</v>
      </c>
      <c r="L253" s="3"/>
      <c r="M253" s="3" t="s">
        <v>105</v>
      </c>
      <c r="N253" s="3" t="s">
        <v>61</v>
      </c>
    </row>
    <row r="254" customFormat="false" ht="13.8" hidden="false" customHeight="false" outlineLevel="0" collapsed="false">
      <c r="A254" s="3" t="n">
        <v>253</v>
      </c>
      <c r="B254" s="3" t="s">
        <v>399</v>
      </c>
      <c r="C254" s="3" t="s">
        <v>143</v>
      </c>
      <c r="D254" s="3" t="s">
        <v>288</v>
      </c>
      <c r="E254" s="25" t="s">
        <v>482</v>
      </c>
      <c r="F254" s="3" t="s">
        <v>105</v>
      </c>
      <c r="G254" s="3" t="s">
        <v>61</v>
      </c>
      <c r="J254" s="13"/>
      <c r="K254" s="13"/>
      <c r="L254" s="3" t="s">
        <v>257</v>
      </c>
      <c r="M254" s="3" t="s">
        <v>143</v>
      </c>
      <c r="N254" s="3" t="s">
        <v>288</v>
      </c>
    </row>
    <row r="255" customFormat="false" ht="13.8" hidden="false" customHeight="false" outlineLevel="0" collapsed="false">
      <c r="A255" s="3" t="n">
        <v>254</v>
      </c>
      <c r="B255" s="3" t="s">
        <v>460</v>
      </c>
      <c r="C255" s="3" t="s">
        <v>143</v>
      </c>
      <c r="D255" s="3" t="s">
        <v>288</v>
      </c>
      <c r="E255" s="25" t="s">
        <v>482</v>
      </c>
      <c r="F255" s="3" t="s">
        <v>105</v>
      </c>
      <c r="G255" s="3" t="s">
        <v>61</v>
      </c>
      <c r="J255" s="13"/>
      <c r="K255" s="13"/>
      <c r="L255" s="3" t="s">
        <v>257</v>
      </c>
      <c r="M255" s="3" t="s">
        <v>143</v>
      </c>
      <c r="N255" s="3" t="s">
        <v>288</v>
      </c>
    </row>
    <row r="256" customFormat="false" ht="13.8" hidden="false" customHeight="false" outlineLevel="0" collapsed="false">
      <c r="A256" s="3" t="n">
        <v>255</v>
      </c>
      <c r="B256" s="3" t="s">
        <v>657</v>
      </c>
      <c r="C256" s="3" t="s">
        <v>105</v>
      </c>
      <c r="D256" s="3" t="s">
        <v>61</v>
      </c>
      <c r="E256" s="25" t="s">
        <v>482</v>
      </c>
      <c r="F256" s="3" t="s">
        <v>105</v>
      </c>
      <c r="G256" s="3" t="s">
        <v>61</v>
      </c>
      <c r="J256" s="13" t="n">
        <f aca="false">_xlfn.IFS(F256="","",M256=F256,1,M256&lt;&gt;F256,0)</f>
        <v>1</v>
      </c>
      <c r="K256" s="13" t="n">
        <f aca="false">_xlfn.IFS(G256="","",N256=G256,1,N256&lt;&gt;G256,0)</f>
        <v>1</v>
      </c>
      <c r="L256" s="3"/>
      <c r="M256" s="3" t="s">
        <v>105</v>
      </c>
      <c r="N256" s="3" t="s">
        <v>61</v>
      </c>
    </row>
    <row r="257" customFormat="false" ht="13.8" hidden="false" customHeight="false" outlineLevel="0" collapsed="false">
      <c r="A257" s="3" t="n">
        <v>256</v>
      </c>
      <c r="B257" s="3" t="s">
        <v>610</v>
      </c>
      <c r="C257" s="3" t="s">
        <v>105</v>
      </c>
      <c r="D257" s="3" t="s">
        <v>61</v>
      </c>
      <c r="E257" s="25" t="s">
        <v>896</v>
      </c>
      <c r="F257" s="3"/>
      <c r="G257" s="3"/>
      <c r="J257" s="13" t="str">
        <f aca="false">_xlfn.IFS(F257="","",M257=F257,1,M257&lt;&gt;F257,0)</f>
        <v/>
      </c>
      <c r="K257" s="13" t="str">
        <f aca="false">_xlfn.IFS(G257="","",N257=G257,1,N257&lt;&gt;G257,0)</f>
        <v/>
      </c>
      <c r="L257" s="3"/>
      <c r="M257" s="3" t="s">
        <v>105</v>
      </c>
      <c r="N257" s="3" t="s">
        <v>61</v>
      </c>
    </row>
    <row r="258" customFormat="false" ht="13.8" hidden="false" customHeight="false" outlineLevel="0" collapsed="false">
      <c r="A258" s="3" t="n">
        <v>257</v>
      </c>
      <c r="B258" s="3" t="s">
        <v>536</v>
      </c>
      <c r="C258" s="3" t="s">
        <v>105</v>
      </c>
      <c r="D258" s="3" t="s">
        <v>61</v>
      </c>
      <c r="E258" s="25" t="s">
        <v>896</v>
      </c>
      <c r="F258" s="3"/>
      <c r="G258" s="3"/>
      <c r="J258" s="13" t="str">
        <f aca="false">_xlfn.IFS(F258="","",M258=F258,1,M258&lt;&gt;F258,0)</f>
        <v/>
      </c>
      <c r="K258" s="13" t="str">
        <f aca="false">_xlfn.IFS(G258="","",N258=G258,1,N258&lt;&gt;G258,0)</f>
        <v/>
      </c>
      <c r="L258" s="3"/>
      <c r="M258" s="3" t="s">
        <v>105</v>
      </c>
      <c r="N258" s="3" t="s">
        <v>61</v>
      </c>
    </row>
    <row r="259" customFormat="false" ht="13.8" hidden="false" customHeight="false" outlineLevel="0" collapsed="false">
      <c r="A259" s="3" t="n">
        <v>258</v>
      </c>
      <c r="B259" s="3" t="s">
        <v>362</v>
      </c>
      <c r="C259" s="3" t="s">
        <v>105</v>
      </c>
      <c r="D259" s="3" t="s">
        <v>61</v>
      </c>
      <c r="E259" s="25" t="s">
        <v>896</v>
      </c>
      <c r="F259" s="3"/>
      <c r="G259" s="3"/>
      <c r="J259" s="13" t="str">
        <f aca="false">_xlfn.IFS(F259="","",M259=F259,1,M259&lt;&gt;F259,0)</f>
        <v/>
      </c>
      <c r="K259" s="13" t="str">
        <f aca="false">_xlfn.IFS(G259="","",N259=G259,1,N259&lt;&gt;G259,0)</f>
        <v/>
      </c>
      <c r="L259" s="3"/>
      <c r="M259" s="3" t="s">
        <v>105</v>
      </c>
      <c r="N259" s="3" t="s">
        <v>61</v>
      </c>
    </row>
    <row r="260" customFormat="false" ht="13.8" hidden="false" customHeight="false" outlineLevel="0" collapsed="false">
      <c r="A260" s="3" t="n">
        <v>259</v>
      </c>
      <c r="B260" s="3" t="s">
        <v>649</v>
      </c>
      <c r="C260" s="3" t="s">
        <v>143</v>
      </c>
      <c r="D260" s="3" t="s">
        <v>351</v>
      </c>
      <c r="E260" s="25" t="s">
        <v>482</v>
      </c>
      <c r="F260" s="3" t="s">
        <v>81</v>
      </c>
      <c r="G260" s="3"/>
      <c r="J260" s="13"/>
      <c r="K260" s="13"/>
      <c r="L260" s="3" t="s">
        <v>257</v>
      </c>
      <c r="M260" s="3" t="s">
        <v>143</v>
      </c>
      <c r="N260" s="3" t="s">
        <v>351</v>
      </c>
    </row>
    <row r="261" customFormat="false" ht="13.8" hidden="false" customHeight="false" outlineLevel="0" collapsed="false">
      <c r="A261" s="3" t="n">
        <v>260</v>
      </c>
      <c r="B261" s="3" t="s">
        <v>601</v>
      </c>
      <c r="C261" s="3" t="s">
        <v>105</v>
      </c>
      <c r="D261" s="3" t="s">
        <v>61</v>
      </c>
      <c r="E261" s="25" t="s">
        <v>896</v>
      </c>
      <c r="F261" s="3"/>
      <c r="G261" s="3"/>
      <c r="J261" s="13" t="str">
        <f aca="false">_xlfn.IFS(F261="","",M261=F261,1,M261&lt;&gt;F261,0)</f>
        <v/>
      </c>
      <c r="K261" s="13" t="str">
        <f aca="false">_xlfn.IFS(G261="","",N261=G261,1,N261&lt;&gt;G261,0)</f>
        <v/>
      </c>
      <c r="L261" s="3"/>
      <c r="M261" s="3" t="s">
        <v>105</v>
      </c>
      <c r="N261" s="3" t="s">
        <v>61</v>
      </c>
    </row>
    <row r="262" customFormat="false" ht="13.8" hidden="false" customHeight="false" outlineLevel="0" collapsed="false">
      <c r="A262" s="3" t="n">
        <v>261</v>
      </c>
      <c r="B262" s="3" t="s">
        <v>535</v>
      </c>
      <c r="C262" s="3" t="s">
        <v>105</v>
      </c>
      <c r="D262" s="3" t="s">
        <v>55</v>
      </c>
      <c r="E262" s="25" t="s">
        <v>896</v>
      </c>
      <c r="F262" s="3"/>
      <c r="G262" s="3"/>
      <c r="J262" s="13" t="str">
        <f aca="false">_xlfn.IFS(F262="","",M262=F262,1,M262&lt;&gt;F262,0)</f>
        <v/>
      </c>
      <c r="K262" s="13" t="str">
        <f aca="false">_xlfn.IFS(G262="","",N262=G262,1,N262&lt;&gt;G262,0)</f>
        <v/>
      </c>
      <c r="L262" s="3"/>
      <c r="M262" s="3" t="s">
        <v>105</v>
      </c>
      <c r="N262" s="3" t="s">
        <v>55</v>
      </c>
    </row>
    <row r="263" customFormat="false" ht="13.8" hidden="false" customHeight="false" outlineLevel="0" collapsed="false">
      <c r="A263" s="3" t="n">
        <v>262</v>
      </c>
      <c r="B263" s="3" t="s">
        <v>819</v>
      </c>
      <c r="C263" s="3" t="s">
        <v>143</v>
      </c>
      <c r="D263" s="3" t="s">
        <v>288</v>
      </c>
      <c r="E263" s="25" t="s">
        <v>891</v>
      </c>
      <c r="F263" s="3" t="s">
        <v>164</v>
      </c>
      <c r="G263" s="3" t="s">
        <v>154</v>
      </c>
      <c r="J263" s="13"/>
      <c r="K263" s="13"/>
      <c r="L263" s="3" t="s">
        <v>257</v>
      </c>
      <c r="M263" s="3" t="s">
        <v>143</v>
      </c>
      <c r="N263" s="3" t="s">
        <v>288</v>
      </c>
    </row>
    <row r="264" customFormat="false" ht="13.8" hidden="false" customHeight="false" outlineLevel="0" collapsed="false">
      <c r="A264" s="3" t="n">
        <v>263</v>
      </c>
      <c r="B264" s="3" t="s">
        <v>318</v>
      </c>
      <c r="C264" s="3" t="s">
        <v>105</v>
      </c>
      <c r="D264" s="3" t="s">
        <v>77</v>
      </c>
      <c r="E264" s="25" t="s">
        <v>891</v>
      </c>
      <c r="F264" s="3" t="s">
        <v>164</v>
      </c>
      <c r="G264" s="3" t="s">
        <v>899</v>
      </c>
      <c r="J264" s="13" t="n">
        <f aca="false">_xlfn.IFS(F264="","",M264=F264,1,M264&lt;&gt;F264,0)</f>
        <v>0</v>
      </c>
      <c r="K264" s="13" t="n">
        <f aca="false">_xlfn.IFS(G264="","",N264=G264,1,N264&lt;&gt;G264,0)</f>
        <v>0</v>
      </c>
      <c r="L264" s="3"/>
      <c r="M264" s="3" t="s">
        <v>105</v>
      </c>
      <c r="N264" s="3" t="s">
        <v>894</v>
      </c>
    </row>
    <row r="265" customFormat="false" ht="13.8" hidden="false" customHeight="false" outlineLevel="0" collapsed="false">
      <c r="A265" s="3" t="n">
        <v>264</v>
      </c>
      <c r="B265" s="3" t="s">
        <v>390</v>
      </c>
      <c r="C265" s="3" t="s">
        <v>105</v>
      </c>
      <c r="D265" s="3" t="s">
        <v>61</v>
      </c>
      <c r="E265" s="25" t="s">
        <v>896</v>
      </c>
      <c r="F265" s="3"/>
      <c r="G265" s="3"/>
      <c r="J265" s="13" t="str">
        <f aca="false">_xlfn.IFS(F265="","",M265=F265,1,M265&lt;&gt;F265,0)</f>
        <v/>
      </c>
      <c r="K265" s="13" t="str">
        <f aca="false">_xlfn.IFS(G265="","",N265=G265,1,N265&lt;&gt;G265,0)</f>
        <v/>
      </c>
      <c r="L265" s="3"/>
      <c r="M265" s="3" t="s">
        <v>105</v>
      </c>
      <c r="N265" s="3" t="s">
        <v>61</v>
      </c>
    </row>
    <row r="266" customFormat="false" ht="13.8" hidden="false" customHeight="false" outlineLevel="0" collapsed="false">
      <c r="A266" s="3" t="n">
        <v>265</v>
      </c>
      <c r="B266" s="3" t="s">
        <v>556</v>
      </c>
      <c r="C266" s="3" t="s">
        <v>105</v>
      </c>
      <c r="D266" s="3" t="s">
        <v>61</v>
      </c>
      <c r="E266" s="25" t="s">
        <v>482</v>
      </c>
      <c r="F266" s="3" t="s">
        <v>105</v>
      </c>
      <c r="G266" s="3" t="s">
        <v>894</v>
      </c>
      <c r="J266" s="13" t="n">
        <f aca="false">_xlfn.IFS(F266="","",M266=F266,1,M266&lt;&gt;F266,0)</f>
        <v>1</v>
      </c>
      <c r="K266" s="13" t="n">
        <f aca="false">_xlfn.IFS(G266="","",N266=G266,1,N266&lt;&gt;G266,0)</f>
        <v>0</v>
      </c>
      <c r="L266" s="3"/>
      <c r="M266" s="3" t="s">
        <v>105</v>
      </c>
      <c r="N266" s="3" t="s">
        <v>61</v>
      </c>
    </row>
    <row r="267" customFormat="false" ht="13.8" hidden="false" customHeight="false" outlineLevel="0" collapsed="false">
      <c r="A267" s="3" t="n">
        <v>266</v>
      </c>
      <c r="B267" s="3" t="s">
        <v>554</v>
      </c>
      <c r="C267" s="3" t="s">
        <v>105</v>
      </c>
      <c r="D267" s="3" t="s">
        <v>77</v>
      </c>
      <c r="E267" s="25" t="s">
        <v>482</v>
      </c>
      <c r="F267" s="3" t="s">
        <v>143</v>
      </c>
      <c r="G267" s="3" t="s">
        <v>160</v>
      </c>
      <c r="J267" s="13" t="n">
        <f aca="false">_xlfn.IFS(F267="","",M267=F267,1,M267&lt;&gt;F267,0)</f>
        <v>0</v>
      </c>
      <c r="K267" s="13" t="n">
        <f aca="false">_xlfn.IFS(G267="","",N267=G267,1,N267&lt;&gt;G267,0)</f>
        <v>0</v>
      </c>
      <c r="L267" s="3"/>
      <c r="M267" s="3" t="s">
        <v>105</v>
      </c>
      <c r="N267" s="3" t="s">
        <v>894</v>
      </c>
    </row>
    <row r="268" customFormat="false" ht="13.8" hidden="false" customHeight="false" outlineLevel="0" collapsed="false">
      <c r="A268" s="3" t="n">
        <v>267</v>
      </c>
      <c r="B268" s="3" t="s">
        <v>793</v>
      </c>
      <c r="C268" s="3" t="s">
        <v>105</v>
      </c>
      <c r="D268" s="3" t="s">
        <v>61</v>
      </c>
      <c r="E268" s="25" t="s">
        <v>891</v>
      </c>
      <c r="F268" s="3" t="s">
        <v>164</v>
      </c>
      <c r="G268" s="3" t="s">
        <v>154</v>
      </c>
      <c r="J268" s="13" t="n">
        <f aca="false">_xlfn.IFS(F268="","",M268=F268,1,M268&lt;&gt;F268,0)</f>
        <v>0</v>
      </c>
      <c r="K268" s="13" t="n">
        <f aca="false">_xlfn.IFS(G268="","",N268=G268,1,N268&lt;&gt;G268,0)</f>
        <v>0</v>
      </c>
      <c r="L268" s="3"/>
      <c r="M268" s="3" t="s">
        <v>105</v>
      </c>
      <c r="N268" s="3" t="s">
        <v>61</v>
      </c>
    </row>
    <row r="269" customFormat="false" ht="13.8" hidden="false" customHeight="false" outlineLevel="0" collapsed="false">
      <c r="A269" s="3" t="n">
        <v>268</v>
      </c>
      <c r="B269" s="3" t="s">
        <v>408</v>
      </c>
      <c r="C269" s="3" t="s">
        <v>105</v>
      </c>
      <c r="D269" s="3" t="s">
        <v>61</v>
      </c>
      <c r="E269" s="25" t="s">
        <v>896</v>
      </c>
      <c r="F269" s="3"/>
      <c r="G269" s="3"/>
      <c r="J269" s="13" t="str">
        <f aca="false">_xlfn.IFS(F269="","",M269=F269,1,M269&lt;&gt;F269,0)</f>
        <v/>
      </c>
      <c r="K269" s="13" t="str">
        <f aca="false">_xlfn.IFS(G269="","",N269=G269,1,N269&lt;&gt;G269,0)</f>
        <v/>
      </c>
      <c r="L269" s="3"/>
      <c r="M269" s="3" t="s">
        <v>105</v>
      </c>
      <c r="N269" s="3" t="s">
        <v>61</v>
      </c>
    </row>
    <row r="270" customFormat="false" ht="13.8" hidden="false" customHeight="false" outlineLevel="0" collapsed="false">
      <c r="A270" s="3" t="n">
        <v>269</v>
      </c>
      <c r="B270" s="3" t="s">
        <v>286</v>
      </c>
      <c r="C270" s="3" t="s">
        <v>105</v>
      </c>
      <c r="D270" s="3" t="s">
        <v>61</v>
      </c>
      <c r="E270" s="25" t="s">
        <v>896</v>
      </c>
      <c r="F270" s="3"/>
      <c r="G270" s="3"/>
      <c r="J270" s="13" t="str">
        <f aca="false">_xlfn.IFS(F270="","",M270=F270,1,M270&lt;&gt;F270,0)</f>
        <v/>
      </c>
      <c r="K270" s="13" t="str">
        <f aca="false">_xlfn.IFS(G270="","",N270=G270,1,N270&lt;&gt;G270,0)</f>
        <v/>
      </c>
      <c r="L270" s="3"/>
      <c r="M270" s="3" t="s">
        <v>105</v>
      </c>
      <c r="N270" s="3" t="s">
        <v>61</v>
      </c>
    </row>
    <row r="271" customFormat="false" ht="13.8" hidden="false" customHeight="false" outlineLevel="0" collapsed="false">
      <c r="A271" s="3" t="n">
        <v>270</v>
      </c>
      <c r="B271" s="3" t="s">
        <v>682</v>
      </c>
      <c r="C271" s="3" t="s">
        <v>105</v>
      </c>
      <c r="D271" s="3" t="s">
        <v>77</v>
      </c>
      <c r="E271" s="25" t="s">
        <v>891</v>
      </c>
      <c r="F271" s="3" t="s">
        <v>164</v>
      </c>
      <c r="G271" s="3" t="s">
        <v>884</v>
      </c>
      <c r="J271" s="13" t="n">
        <f aca="false">_xlfn.IFS(F271="","",M271=F271,1,M271&lt;&gt;F271,0)</f>
        <v>0</v>
      </c>
      <c r="K271" s="13" t="n">
        <f aca="false">_xlfn.IFS(G271="","",N271=G271,1,N271&lt;&gt;G271,0)</f>
        <v>0</v>
      </c>
      <c r="L271" s="3"/>
      <c r="M271" s="3" t="s">
        <v>105</v>
      </c>
      <c r="N271" s="3" t="s">
        <v>894</v>
      </c>
    </row>
    <row r="272" customFormat="false" ht="13.8" hidden="false" customHeight="false" outlineLevel="0" collapsed="false">
      <c r="A272" s="3" t="n">
        <v>271</v>
      </c>
      <c r="B272" s="3" t="s">
        <v>837</v>
      </c>
      <c r="C272" s="3" t="s">
        <v>105</v>
      </c>
      <c r="D272" s="3" t="s">
        <v>61</v>
      </c>
      <c r="E272" s="25" t="s">
        <v>482</v>
      </c>
      <c r="F272" s="3" t="s">
        <v>105</v>
      </c>
      <c r="G272" s="3" t="s">
        <v>894</v>
      </c>
      <c r="J272" s="13" t="n">
        <f aca="false">_xlfn.IFS(F272="","",M272=F272,1,M272&lt;&gt;F272,0)</f>
        <v>1</v>
      </c>
      <c r="K272" s="13" t="n">
        <f aca="false">_xlfn.IFS(G272="","",N272=G272,1,N272&lt;&gt;G272,0)</f>
        <v>0</v>
      </c>
      <c r="L272" s="3"/>
      <c r="M272" s="3" t="s">
        <v>105</v>
      </c>
      <c r="N272" s="3" t="s">
        <v>61</v>
      </c>
    </row>
    <row r="273" customFormat="false" ht="13.8" hidden="false" customHeight="false" outlineLevel="0" collapsed="false">
      <c r="A273" s="3" t="n">
        <v>272</v>
      </c>
      <c r="B273" s="3" t="s">
        <v>494</v>
      </c>
      <c r="C273" s="3" t="s">
        <v>105</v>
      </c>
      <c r="D273" s="3" t="s">
        <v>61</v>
      </c>
      <c r="E273" s="25" t="s">
        <v>482</v>
      </c>
      <c r="F273" s="3" t="s">
        <v>81</v>
      </c>
      <c r="G273" s="3"/>
      <c r="J273" s="13" t="n">
        <f aca="false">_xlfn.IFS(F273="","",M273=F273,1,M273&lt;&gt;F273,0)</f>
        <v>0</v>
      </c>
      <c r="K273" s="13" t="str">
        <f aca="false">_xlfn.IFS(G273="","",N273=G273,1,N273&lt;&gt;G273,0)</f>
        <v/>
      </c>
      <c r="L273" s="3"/>
      <c r="M273" s="3" t="s">
        <v>105</v>
      </c>
      <c r="N273" s="3" t="s">
        <v>61</v>
      </c>
    </row>
    <row r="274" customFormat="false" ht="13.8" hidden="false" customHeight="false" outlineLevel="0" collapsed="false">
      <c r="A274" s="3" t="n">
        <v>273</v>
      </c>
      <c r="B274" s="3" t="s">
        <v>467</v>
      </c>
      <c r="C274" s="3" t="s">
        <v>143</v>
      </c>
      <c r="D274" s="3" t="s">
        <v>198</v>
      </c>
      <c r="E274" s="25" t="s">
        <v>482</v>
      </c>
      <c r="F274" s="3" t="s">
        <v>105</v>
      </c>
      <c r="G274" s="3" t="s">
        <v>894</v>
      </c>
      <c r="J274" s="13"/>
      <c r="K274" s="13"/>
      <c r="L274" s="3" t="s">
        <v>257</v>
      </c>
      <c r="M274" s="3" t="s">
        <v>143</v>
      </c>
      <c r="N274" s="3" t="s">
        <v>198</v>
      </c>
    </row>
    <row r="275" customFormat="false" ht="13.8" hidden="false" customHeight="false" outlineLevel="0" collapsed="false">
      <c r="A275" s="3" t="n">
        <v>274</v>
      </c>
      <c r="B275" s="3" t="s">
        <v>573</v>
      </c>
      <c r="C275" s="3" t="s">
        <v>105</v>
      </c>
      <c r="D275" s="3" t="s">
        <v>61</v>
      </c>
      <c r="E275" s="25" t="s">
        <v>896</v>
      </c>
      <c r="F275" s="3"/>
      <c r="G275" s="3"/>
      <c r="J275" s="13" t="str">
        <f aca="false">_xlfn.IFS(F275="","",M275=F275,1,M275&lt;&gt;F275,0)</f>
        <v/>
      </c>
      <c r="K275" s="13" t="str">
        <f aca="false">_xlfn.IFS(G275="","",N275=G275,1,N275&lt;&gt;G275,0)</f>
        <v/>
      </c>
      <c r="L275" s="3"/>
      <c r="M275" s="3" t="s">
        <v>105</v>
      </c>
      <c r="N275" s="3" t="s">
        <v>61</v>
      </c>
    </row>
    <row r="276" customFormat="false" ht="13.8" hidden="false" customHeight="false" outlineLevel="0" collapsed="false">
      <c r="A276" s="3" t="n">
        <v>275</v>
      </c>
      <c r="B276" s="3" t="s">
        <v>474</v>
      </c>
      <c r="C276" s="3" t="s">
        <v>105</v>
      </c>
      <c r="D276" s="3" t="s">
        <v>61</v>
      </c>
      <c r="E276" s="25" t="s">
        <v>482</v>
      </c>
      <c r="F276" s="3" t="s">
        <v>105</v>
      </c>
      <c r="G276" s="3" t="s">
        <v>61</v>
      </c>
      <c r="J276" s="13" t="n">
        <f aca="false">_xlfn.IFS(F276="","",M276=F276,1,M276&lt;&gt;F276,0)</f>
        <v>1</v>
      </c>
      <c r="K276" s="13" t="n">
        <f aca="false">_xlfn.IFS(G276="","",N276=G276,1,N276&lt;&gt;G276,0)</f>
        <v>1</v>
      </c>
      <c r="L276" s="3"/>
      <c r="M276" s="3" t="s">
        <v>105</v>
      </c>
      <c r="N276" s="3" t="s">
        <v>61</v>
      </c>
    </row>
    <row r="277" customFormat="false" ht="13.8" hidden="false" customHeight="false" outlineLevel="0" collapsed="false">
      <c r="A277" s="3" t="n">
        <v>276</v>
      </c>
      <c r="B277" s="3" t="s">
        <v>338</v>
      </c>
      <c r="C277" s="3" t="s">
        <v>150</v>
      </c>
      <c r="D277" s="3" t="s">
        <v>339</v>
      </c>
      <c r="E277" s="25" t="s">
        <v>891</v>
      </c>
      <c r="F277" s="3" t="s">
        <v>164</v>
      </c>
      <c r="G277" s="3" t="s">
        <v>63</v>
      </c>
      <c r="J277" s="13" t="n">
        <f aca="false">_xlfn.IFS(F277="","",M277=F277,1,M277&lt;&gt;F277,0)</f>
        <v>1</v>
      </c>
      <c r="K277" s="13" t="n">
        <f aca="false">_xlfn.IFS(G277="","",N277=G277,1,N277&lt;&gt;G277,0)</f>
        <v>1</v>
      </c>
      <c r="L277" s="3"/>
      <c r="M277" s="3" t="s">
        <v>164</v>
      </c>
      <c r="N277" s="3" t="s">
        <v>63</v>
      </c>
    </row>
    <row r="278" customFormat="false" ht="13.8" hidden="false" customHeight="false" outlineLevel="0" collapsed="false">
      <c r="A278" s="3" t="n">
        <v>277</v>
      </c>
      <c r="B278" s="3" t="s">
        <v>528</v>
      </c>
      <c r="C278" s="3" t="s">
        <v>105</v>
      </c>
      <c r="D278" s="3" t="s">
        <v>55</v>
      </c>
      <c r="E278" s="25" t="s">
        <v>891</v>
      </c>
      <c r="F278" s="3" t="s">
        <v>164</v>
      </c>
      <c r="G278" s="3" t="s">
        <v>154</v>
      </c>
      <c r="J278" s="13" t="n">
        <f aca="false">_xlfn.IFS(F278="","",M278=F278,1,M278&lt;&gt;F278,0)</f>
        <v>0</v>
      </c>
      <c r="K278" s="13" t="n">
        <f aca="false">_xlfn.IFS(G278="","",N278=G278,1,N278&lt;&gt;G278,0)</f>
        <v>0</v>
      </c>
      <c r="L278" s="3"/>
      <c r="M278" s="3" t="s">
        <v>105</v>
      </c>
      <c r="N278" s="3" t="s">
        <v>55</v>
      </c>
    </row>
    <row r="279" customFormat="false" ht="13.8" hidden="false" customHeight="false" outlineLevel="0" collapsed="false">
      <c r="A279" s="3" t="n">
        <v>278</v>
      </c>
      <c r="B279" s="3" t="s">
        <v>854</v>
      </c>
      <c r="C279" s="3" t="s">
        <v>105</v>
      </c>
      <c r="D279" s="3" t="s">
        <v>61</v>
      </c>
      <c r="E279" s="25" t="s">
        <v>482</v>
      </c>
      <c r="F279" s="3" t="s">
        <v>105</v>
      </c>
      <c r="G279" s="3" t="s">
        <v>61</v>
      </c>
      <c r="J279" s="13" t="n">
        <f aca="false">_xlfn.IFS(F279="","",M279=F279,1,M279&lt;&gt;F279,0)</f>
        <v>1</v>
      </c>
      <c r="K279" s="13" t="n">
        <f aca="false">_xlfn.IFS(G279="","",N279=G279,1,N279&lt;&gt;G279,0)</f>
        <v>1</v>
      </c>
      <c r="L279" s="3"/>
      <c r="M279" s="3" t="s">
        <v>105</v>
      </c>
      <c r="N279" s="3" t="s">
        <v>61</v>
      </c>
    </row>
    <row r="280" customFormat="false" ht="13.8" hidden="false" customHeight="false" outlineLevel="0" collapsed="false">
      <c r="A280" s="3" t="n">
        <v>279</v>
      </c>
      <c r="B280" s="3" t="s">
        <v>243</v>
      </c>
      <c r="C280" s="3" t="s">
        <v>105</v>
      </c>
      <c r="D280" s="3" t="s">
        <v>61</v>
      </c>
      <c r="E280" s="25" t="s">
        <v>896</v>
      </c>
      <c r="F280" s="3"/>
      <c r="G280" s="3"/>
      <c r="J280" s="13" t="str">
        <f aca="false">_xlfn.IFS(F280="","",M280=F280,1,M280&lt;&gt;F280,0)</f>
        <v/>
      </c>
      <c r="K280" s="13" t="str">
        <f aca="false">_xlfn.IFS(G280="","",N280=G280,1,N280&lt;&gt;G280,0)</f>
        <v/>
      </c>
      <c r="L280" s="3"/>
      <c r="M280" s="3" t="s">
        <v>105</v>
      </c>
      <c r="N280" s="3" t="s">
        <v>61</v>
      </c>
    </row>
    <row r="281" customFormat="false" ht="13.8" hidden="false" customHeight="false" outlineLevel="0" collapsed="false">
      <c r="A281" s="3" t="n">
        <v>280</v>
      </c>
      <c r="B281" s="3" t="s">
        <v>442</v>
      </c>
      <c r="C281" s="3" t="s">
        <v>105</v>
      </c>
      <c r="D281" s="3" t="s">
        <v>61</v>
      </c>
      <c r="E281" s="25" t="s">
        <v>896</v>
      </c>
      <c r="F281" s="3"/>
      <c r="G281" s="3"/>
      <c r="J281" s="13" t="str">
        <f aca="false">_xlfn.IFS(F281="","",M281=F281,1,M281&lt;&gt;F281,0)</f>
        <v/>
      </c>
      <c r="K281" s="13" t="str">
        <f aca="false">_xlfn.IFS(G281="","",N281=G281,1,N281&lt;&gt;G281,0)</f>
        <v/>
      </c>
      <c r="L281" s="3"/>
      <c r="M281" s="3" t="s">
        <v>105</v>
      </c>
      <c r="N281" s="3" t="s">
        <v>61</v>
      </c>
    </row>
    <row r="282" customFormat="false" ht="13.8" hidden="false" customHeight="false" outlineLevel="0" collapsed="false">
      <c r="A282" s="3" t="n">
        <v>281</v>
      </c>
      <c r="B282" s="3" t="s">
        <v>356</v>
      </c>
      <c r="C282" s="3" t="s">
        <v>105</v>
      </c>
      <c r="D282" s="3" t="s">
        <v>61</v>
      </c>
      <c r="E282" s="25" t="s">
        <v>482</v>
      </c>
      <c r="F282" s="3" t="s">
        <v>105</v>
      </c>
      <c r="G282" s="3" t="s">
        <v>61</v>
      </c>
      <c r="J282" s="13" t="n">
        <f aca="false">_xlfn.IFS(F282="","",M282=F282,1,M282&lt;&gt;F282,0)</f>
        <v>1</v>
      </c>
      <c r="K282" s="13" t="n">
        <f aca="false">_xlfn.IFS(G282="","",N282=G282,1,N282&lt;&gt;G282,0)</f>
        <v>1</v>
      </c>
      <c r="L282" s="3"/>
      <c r="M282" s="3" t="s">
        <v>105</v>
      </c>
      <c r="N282" s="3" t="s">
        <v>61</v>
      </c>
    </row>
    <row r="283" customFormat="false" ht="13.8" hidden="false" customHeight="false" outlineLevel="0" collapsed="false">
      <c r="A283" s="3" t="n">
        <v>282</v>
      </c>
      <c r="B283" s="3" t="s">
        <v>830</v>
      </c>
      <c r="C283" s="3" t="s">
        <v>105</v>
      </c>
      <c r="D283" s="3" t="s">
        <v>61</v>
      </c>
      <c r="E283" s="25" t="s">
        <v>891</v>
      </c>
      <c r="F283" s="3" t="s">
        <v>164</v>
      </c>
      <c r="G283" s="3" t="s">
        <v>154</v>
      </c>
      <c r="J283" s="13" t="n">
        <f aca="false">_xlfn.IFS(F283="","",M283=F283,1,M283&lt;&gt;F283,0)</f>
        <v>0</v>
      </c>
      <c r="K283" s="13" t="n">
        <f aca="false">_xlfn.IFS(G283="","",N283=G283,1,N283&lt;&gt;G283,0)</f>
        <v>0</v>
      </c>
      <c r="L283" s="3"/>
      <c r="M283" s="3" t="s">
        <v>105</v>
      </c>
      <c r="N283" s="3" t="s">
        <v>61</v>
      </c>
    </row>
    <row r="284" customFormat="false" ht="13.8" hidden="false" customHeight="false" outlineLevel="0" collapsed="false">
      <c r="A284" s="3" t="n">
        <v>283</v>
      </c>
      <c r="B284" s="3" t="s">
        <v>644</v>
      </c>
      <c r="C284" s="3" t="s">
        <v>105</v>
      </c>
      <c r="D284" s="3" t="s">
        <v>61</v>
      </c>
      <c r="E284" s="25" t="s">
        <v>482</v>
      </c>
      <c r="F284" s="3" t="s">
        <v>105</v>
      </c>
      <c r="G284" s="3" t="s">
        <v>894</v>
      </c>
      <c r="J284" s="13" t="n">
        <f aca="false">_xlfn.IFS(F284="","",M284=F284,1,M284&lt;&gt;F284,0)</f>
        <v>1</v>
      </c>
      <c r="K284" s="13" t="n">
        <f aca="false">_xlfn.IFS(G284="","",N284=G284,1,N284&lt;&gt;G284,0)</f>
        <v>0</v>
      </c>
      <c r="L284" s="3"/>
      <c r="M284" s="3" t="s">
        <v>105</v>
      </c>
      <c r="N284" s="3" t="s">
        <v>61</v>
      </c>
    </row>
    <row r="285" customFormat="false" ht="13.8" hidden="false" customHeight="false" outlineLevel="0" collapsed="false">
      <c r="A285" s="3" t="n">
        <v>284</v>
      </c>
      <c r="B285" s="3" t="s">
        <v>328</v>
      </c>
      <c r="C285" s="3" t="s">
        <v>105</v>
      </c>
      <c r="D285" s="3" t="s">
        <v>77</v>
      </c>
      <c r="E285" s="25" t="s">
        <v>482</v>
      </c>
      <c r="F285" s="3" t="s">
        <v>105</v>
      </c>
      <c r="G285" s="3" t="s">
        <v>894</v>
      </c>
      <c r="J285" s="13" t="n">
        <f aca="false">_xlfn.IFS(F285="","",M285=F285,1,M285&lt;&gt;F285,0)</f>
        <v>1</v>
      </c>
      <c r="K285" s="13" t="n">
        <f aca="false">_xlfn.IFS(G285="","",N285=G285,1,N285&lt;&gt;G285,0)</f>
        <v>1</v>
      </c>
      <c r="L285" s="3"/>
      <c r="M285" s="3" t="s">
        <v>105</v>
      </c>
      <c r="N285" s="3" t="s">
        <v>894</v>
      </c>
    </row>
    <row r="286" customFormat="false" ht="13.8" hidden="false" customHeight="false" outlineLevel="0" collapsed="false">
      <c r="A286" s="3" t="n">
        <v>285</v>
      </c>
      <c r="B286" s="3" t="s">
        <v>287</v>
      </c>
      <c r="C286" s="3" t="s">
        <v>143</v>
      </c>
      <c r="D286" s="3" t="s">
        <v>288</v>
      </c>
      <c r="E286" s="25" t="s">
        <v>482</v>
      </c>
      <c r="F286" s="3" t="s">
        <v>81</v>
      </c>
      <c r="G286" s="3"/>
      <c r="J286" s="13"/>
      <c r="K286" s="13"/>
      <c r="L286" s="3" t="s">
        <v>257</v>
      </c>
      <c r="M286" s="3" t="s">
        <v>143</v>
      </c>
      <c r="N286" s="3" t="s">
        <v>288</v>
      </c>
    </row>
    <row r="287" customFormat="false" ht="13.8" hidden="false" customHeight="false" outlineLevel="0" collapsed="false">
      <c r="A287" s="3" t="n">
        <v>286</v>
      </c>
      <c r="B287" s="3" t="s">
        <v>461</v>
      </c>
      <c r="C287" s="3" t="s">
        <v>105</v>
      </c>
      <c r="D287" s="3" t="s">
        <v>61</v>
      </c>
      <c r="E287" s="25" t="s">
        <v>896</v>
      </c>
      <c r="F287" s="3"/>
      <c r="G287" s="3"/>
      <c r="J287" s="13" t="str">
        <f aca="false">_xlfn.IFS(F287="","",M287=F287,1,M287&lt;&gt;F287,0)</f>
        <v/>
      </c>
      <c r="K287" s="13" t="str">
        <f aca="false">_xlfn.IFS(G287="","",N287=G287,1,N287&lt;&gt;G287,0)</f>
        <v/>
      </c>
      <c r="L287" s="3"/>
      <c r="M287" s="3" t="s">
        <v>105</v>
      </c>
      <c r="N287" s="3" t="s">
        <v>61</v>
      </c>
    </row>
    <row r="288" customFormat="false" ht="13.8" hidden="false" customHeight="false" outlineLevel="0" collapsed="false">
      <c r="A288" s="3" t="n">
        <v>287</v>
      </c>
      <c r="B288" s="3" t="s">
        <v>784</v>
      </c>
      <c r="C288" s="3" t="s">
        <v>105</v>
      </c>
      <c r="D288" s="3" t="s">
        <v>77</v>
      </c>
      <c r="E288" s="25" t="s">
        <v>482</v>
      </c>
      <c r="F288" s="3" t="s">
        <v>81</v>
      </c>
      <c r="G288" s="3"/>
      <c r="J288" s="13" t="n">
        <f aca="false">_xlfn.IFS(F288="","",M288=F288,1,M288&lt;&gt;F288,0)</f>
        <v>0</v>
      </c>
      <c r="K288" s="13" t="str">
        <f aca="false">_xlfn.IFS(G288="","",N288=G288,1,N288&lt;&gt;G288,0)</f>
        <v/>
      </c>
      <c r="L288" s="3"/>
      <c r="M288" s="3" t="s">
        <v>105</v>
      </c>
      <c r="N288" s="3" t="s">
        <v>894</v>
      </c>
    </row>
    <row r="289" customFormat="false" ht="13.8" hidden="false" customHeight="false" outlineLevel="0" collapsed="false">
      <c r="A289" s="3" t="n">
        <v>288</v>
      </c>
      <c r="B289" s="3" t="s">
        <v>726</v>
      </c>
      <c r="C289" s="3" t="s">
        <v>105</v>
      </c>
      <c r="D289" s="3" t="s">
        <v>61</v>
      </c>
      <c r="E289" s="25" t="s">
        <v>891</v>
      </c>
      <c r="F289" s="3" t="s">
        <v>164</v>
      </c>
      <c r="G289" s="3" t="s">
        <v>884</v>
      </c>
      <c r="J289" s="13" t="n">
        <f aca="false">_xlfn.IFS(F289="","",M289=F289,1,M289&lt;&gt;F289,0)</f>
        <v>0</v>
      </c>
      <c r="K289" s="13" t="n">
        <f aca="false">_xlfn.IFS(G289="","",N289=G289,1,N289&lt;&gt;G289,0)</f>
        <v>0</v>
      </c>
      <c r="L289" s="3"/>
      <c r="M289" s="3" t="s">
        <v>105</v>
      </c>
      <c r="N289" s="3" t="s">
        <v>61</v>
      </c>
    </row>
    <row r="290" customFormat="false" ht="13.8" hidden="false" customHeight="false" outlineLevel="0" collapsed="false">
      <c r="A290" s="3" t="n">
        <v>289</v>
      </c>
      <c r="B290" s="3" t="s">
        <v>498</v>
      </c>
      <c r="C290" s="3" t="s">
        <v>105</v>
      </c>
      <c r="D290" s="3" t="s">
        <v>61</v>
      </c>
      <c r="E290" s="25" t="s">
        <v>482</v>
      </c>
      <c r="F290" s="3" t="s">
        <v>105</v>
      </c>
      <c r="G290" s="3" t="s">
        <v>61</v>
      </c>
      <c r="J290" s="13" t="n">
        <f aca="false">_xlfn.IFS(F290="","",M290=F290,1,M290&lt;&gt;F290,0)</f>
        <v>1</v>
      </c>
      <c r="K290" s="13" t="n">
        <f aca="false">_xlfn.IFS(G290="","",N290=G290,1,N290&lt;&gt;G290,0)</f>
        <v>1</v>
      </c>
      <c r="L290" s="3"/>
      <c r="M290" s="3" t="s">
        <v>105</v>
      </c>
      <c r="N290" s="3" t="s">
        <v>61</v>
      </c>
    </row>
    <row r="291" customFormat="false" ht="13.8" hidden="false" customHeight="false" outlineLevel="0" collapsed="false">
      <c r="A291" s="3" t="n">
        <v>290</v>
      </c>
      <c r="B291" s="3" t="s">
        <v>767</v>
      </c>
      <c r="C291" s="3" t="s">
        <v>105</v>
      </c>
      <c r="D291" s="3" t="s">
        <v>77</v>
      </c>
      <c r="E291" s="25" t="s">
        <v>891</v>
      </c>
      <c r="F291" s="3" t="s">
        <v>164</v>
      </c>
      <c r="G291" s="3" t="s">
        <v>154</v>
      </c>
      <c r="J291" s="13" t="n">
        <f aca="false">_xlfn.IFS(F291="","",M291=F291,1,M291&lt;&gt;F291,0)</f>
        <v>0</v>
      </c>
      <c r="K291" s="13" t="n">
        <f aca="false">_xlfn.IFS(G291="","",N291=G291,1,N291&lt;&gt;G291,0)</f>
        <v>0</v>
      </c>
      <c r="L291" s="3"/>
      <c r="M291" s="3" t="s">
        <v>105</v>
      </c>
      <c r="N291" s="3" t="s">
        <v>894</v>
      </c>
    </row>
    <row r="292" customFormat="false" ht="13.8" hidden="false" customHeight="false" outlineLevel="0" collapsed="false">
      <c r="A292" s="3" t="n">
        <v>291</v>
      </c>
      <c r="B292" s="3" t="s">
        <v>641</v>
      </c>
      <c r="C292" s="3" t="s">
        <v>105</v>
      </c>
      <c r="D292" s="3" t="s">
        <v>61</v>
      </c>
      <c r="E292" s="25" t="s">
        <v>482</v>
      </c>
      <c r="F292" s="3" t="s">
        <v>81</v>
      </c>
      <c r="G292" s="3"/>
      <c r="J292" s="13" t="n">
        <f aca="false">_xlfn.IFS(F292="","",M292=F292,1,M292&lt;&gt;F292,0)</f>
        <v>0</v>
      </c>
      <c r="K292" s="13" t="str">
        <f aca="false">_xlfn.IFS(G292="","",N292=G292,1,N292&lt;&gt;G292,0)</f>
        <v/>
      </c>
      <c r="L292" s="3"/>
      <c r="M292" s="3" t="s">
        <v>105</v>
      </c>
      <c r="N292" s="3" t="s">
        <v>61</v>
      </c>
    </row>
    <row r="293" customFormat="false" ht="13.8" hidden="false" customHeight="false" outlineLevel="0" collapsed="false">
      <c r="A293" s="3" t="n">
        <v>292</v>
      </c>
      <c r="B293" s="3" t="s">
        <v>586</v>
      </c>
      <c r="C293" s="3" t="s">
        <v>105</v>
      </c>
      <c r="D293" s="3" t="s">
        <v>61</v>
      </c>
      <c r="E293" s="25" t="s">
        <v>482</v>
      </c>
      <c r="F293" s="3" t="s">
        <v>105</v>
      </c>
      <c r="G293" s="3" t="s">
        <v>894</v>
      </c>
      <c r="J293" s="13" t="n">
        <f aca="false">_xlfn.IFS(F293="","",M293=F293,1,M293&lt;&gt;F293,0)</f>
        <v>1</v>
      </c>
      <c r="K293" s="13" t="n">
        <f aca="false">_xlfn.IFS(G293="","",N293=G293,1,N293&lt;&gt;G293,0)</f>
        <v>0</v>
      </c>
      <c r="L293" s="3"/>
      <c r="M293" s="3" t="s">
        <v>105</v>
      </c>
      <c r="N293" s="3" t="s">
        <v>61</v>
      </c>
    </row>
    <row r="294" customFormat="false" ht="13.8" hidden="false" customHeight="false" outlineLevel="0" collapsed="false">
      <c r="A294" s="3" t="n">
        <v>293</v>
      </c>
      <c r="B294" s="3" t="s">
        <v>815</v>
      </c>
      <c r="C294" s="3" t="s">
        <v>105</v>
      </c>
      <c r="D294" s="3" t="s">
        <v>77</v>
      </c>
      <c r="E294" s="25" t="s">
        <v>482</v>
      </c>
      <c r="F294" s="3" t="s">
        <v>105</v>
      </c>
      <c r="G294" s="3" t="s">
        <v>61</v>
      </c>
      <c r="J294" s="13" t="n">
        <f aca="false">_xlfn.IFS(F294="","",M294=F294,1,M294&lt;&gt;F294,0)</f>
        <v>1</v>
      </c>
      <c r="K294" s="13" t="n">
        <f aca="false">_xlfn.IFS(G294="","",N294=G294,1,N294&lt;&gt;G294,0)</f>
        <v>0</v>
      </c>
      <c r="L294" s="3"/>
      <c r="M294" s="3" t="s">
        <v>105</v>
      </c>
      <c r="N294" s="3" t="s">
        <v>894</v>
      </c>
    </row>
    <row r="295" customFormat="false" ht="13.8" hidden="false" customHeight="false" outlineLevel="0" collapsed="false">
      <c r="A295" s="3" t="n">
        <v>294</v>
      </c>
      <c r="B295" s="3" t="s">
        <v>560</v>
      </c>
      <c r="C295" s="3" t="s">
        <v>105</v>
      </c>
      <c r="D295" s="3" t="s">
        <v>77</v>
      </c>
      <c r="E295" s="25" t="s">
        <v>891</v>
      </c>
      <c r="F295" s="3" t="s">
        <v>164</v>
      </c>
      <c r="G295" s="3" t="s">
        <v>154</v>
      </c>
      <c r="J295" s="13" t="n">
        <f aca="false">_xlfn.IFS(F295="","",M295=F295,1,M295&lt;&gt;F295,0)</f>
        <v>0</v>
      </c>
      <c r="K295" s="13" t="n">
        <f aca="false">_xlfn.IFS(G295="","",N295=G295,1,N295&lt;&gt;G295,0)</f>
        <v>0</v>
      </c>
      <c r="L295" s="3"/>
      <c r="M295" s="3" t="s">
        <v>105</v>
      </c>
      <c r="N295" s="3" t="s">
        <v>894</v>
      </c>
    </row>
    <row r="296" customFormat="false" ht="13.8" hidden="false" customHeight="false" outlineLevel="0" collapsed="false">
      <c r="A296" s="3" t="n">
        <v>295</v>
      </c>
      <c r="B296" s="3" t="s">
        <v>805</v>
      </c>
      <c r="C296" s="3" t="s">
        <v>105</v>
      </c>
      <c r="D296" s="3" t="s">
        <v>61</v>
      </c>
      <c r="E296" s="25" t="s">
        <v>891</v>
      </c>
      <c r="F296" s="3" t="s">
        <v>164</v>
      </c>
      <c r="G296" s="3" t="s">
        <v>884</v>
      </c>
      <c r="J296" s="13" t="n">
        <f aca="false">_xlfn.IFS(F296="","",M296=F296,1,M296&lt;&gt;F296,0)</f>
        <v>0</v>
      </c>
      <c r="K296" s="13" t="n">
        <f aca="false">_xlfn.IFS(G296="","",N296=G296,1,N296&lt;&gt;G296,0)</f>
        <v>0</v>
      </c>
      <c r="L296" s="3"/>
      <c r="M296" s="3" t="s">
        <v>105</v>
      </c>
      <c r="N296" s="3" t="s">
        <v>61</v>
      </c>
    </row>
    <row r="297" customFormat="false" ht="13.8" hidden="false" customHeight="false" outlineLevel="0" collapsed="false">
      <c r="A297" s="3" t="n">
        <v>296</v>
      </c>
      <c r="B297" s="3" t="s">
        <v>765</v>
      </c>
      <c r="C297" s="3" t="s">
        <v>105</v>
      </c>
      <c r="D297" s="3" t="s">
        <v>61</v>
      </c>
      <c r="E297" s="25" t="s">
        <v>482</v>
      </c>
      <c r="F297" s="3" t="s">
        <v>81</v>
      </c>
      <c r="G297" s="3"/>
      <c r="J297" s="13" t="n">
        <f aca="false">_xlfn.IFS(F297="","",M297=F297,1,M297&lt;&gt;F297,0)</f>
        <v>0</v>
      </c>
      <c r="K297" s="13" t="str">
        <f aca="false">_xlfn.IFS(G297="","",N297=G297,1,N297&lt;&gt;G297,0)</f>
        <v/>
      </c>
      <c r="L297" s="3"/>
      <c r="M297" s="3" t="s">
        <v>105</v>
      </c>
      <c r="N297" s="3" t="s">
        <v>61</v>
      </c>
    </row>
    <row r="298" customFormat="false" ht="13.8" hidden="false" customHeight="false" outlineLevel="0" collapsed="false">
      <c r="A298" s="3" t="n">
        <v>297</v>
      </c>
      <c r="B298" s="3" t="s">
        <v>488</v>
      </c>
      <c r="C298" s="3" t="s">
        <v>105</v>
      </c>
      <c r="D298" s="3" t="s">
        <v>77</v>
      </c>
      <c r="E298" s="25" t="s">
        <v>482</v>
      </c>
      <c r="F298" s="3" t="s">
        <v>105</v>
      </c>
      <c r="G298" s="3" t="s">
        <v>61</v>
      </c>
      <c r="J298" s="13" t="n">
        <f aca="false">_xlfn.IFS(F298="","",M298=F298,1,M298&lt;&gt;F298,0)</f>
        <v>1</v>
      </c>
      <c r="K298" s="13" t="n">
        <f aca="false">_xlfn.IFS(G298="","",N298=G298,1,N298&lt;&gt;G298,0)</f>
        <v>0</v>
      </c>
      <c r="L298" s="3"/>
      <c r="M298" s="3" t="s">
        <v>105</v>
      </c>
      <c r="N298" s="3" t="s">
        <v>894</v>
      </c>
    </row>
    <row r="299" customFormat="false" ht="13.8" hidden="false" customHeight="false" outlineLevel="0" collapsed="false">
      <c r="A299" s="3" t="n">
        <v>298</v>
      </c>
      <c r="B299" s="3" t="s">
        <v>758</v>
      </c>
      <c r="C299" s="3" t="s">
        <v>105</v>
      </c>
      <c r="D299" s="3" t="s">
        <v>61</v>
      </c>
      <c r="E299" s="25" t="s">
        <v>891</v>
      </c>
      <c r="F299" s="3" t="s">
        <v>164</v>
      </c>
      <c r="G299" s="3" t="s">
        <v>884</v>
      </c>
      <c r="J299" s="13" t="n">
        <f aca="false">_xlfn.IFS(F299="","",M299=F299,1,M299&lt;&gt;F299,0)</f>
        <v>0</v>
      </c>
      <c r="K299" s="13" t="n">
        <f aca="false">_xlfn.IFS(G299="","",N299=G299,1,N299&lt;&gt;G299,0)</f>
        <v>0</v>
      </c>
      <c r="L299" s="3"/>
      <c r="M299" s="3" t="s">
        <v>105</v>
      </c>
      <c r="N299" s="3" t="s">
        <v>61</v>
      </c>
    </row>
    <row r="300" customFormat="false" ht="13.8" hidden="false" customHeight="false" outlineLevel="0" collapsed="false">
      <c r="A300" s="3" t="n">
        <v>299</v>
      </c>
      <c r="B300" s="3" t="s">
        <v>443</v>
      </c>
      <c r="C300" s="3" t="s">
        <v>105</v>
      </c>
      <c r="D300" s="3" t="s">
        <v>77</v>
      </c>
      <c r="E300" s="25" t="s">
        <v>891</v>
      </c>
      <c r="F300" s="3" t="s">
        <v>164</v>
      </c>
      <c r="G300" s="3" t="s">
        <v>154</v>
      </c>
      <c r="J300" s="13" t="n">
        <f aca="false">_xlfn.IFS(F300="","",M300=F300,1,M300&lt;&gt;F300,0)</f>
        <v>0</v>
      </c>
      <c r="K300" s="13" t="n">
        <f aca="false">_xlfn.IFS(G300="","",N300=G300,1,N300&lt;&gt;G300,0)</f>
        <v>0</v>
      </c>
      <c r="L300" s="3"/>
      <c r="M300" s="3" t="s">
        <v>105</v>
      </c>
      <c r="N300" s="3" t="s">
        <v>894</v>
      </c>
    </row>
    <row r="301" customFormat="false" ht="13.8" hidden="false" customHeight="false" outlineLevel="0" collapsed="false">
      <c r="A301" s="3" t="n">
        <v>300</v>
      </c>
      <c r="B301" s="3" t="s">
        <v>825</v>
      </c>
      <c r="C301" s="3" t="s">
        <v>105</v>
      </c>
      <c r="D301" s="3" t="s">
        <v>61</v>
      </c>
      <c r="E301" s="25" t="s">
        <v>896</v>
      </c>
      <c r="F301" s="3"/>
      <c r="G301" s="3"/>
      <c r="J301" s="13" t="str">
        <f aca="false">_xlfn.IFS(F301="","",M301=F301,1,M301&lt;&gt;F301,0)</f>
        <v/>
      </c>
      <c r="K301" s="13" t="str">
        <f aca="false">_xlfn.IFS(G301="","",N301=G301,1,N301&lt;&gt;G301,0)</f>
        <v/>
      </c>
      <c r="L301" s="3"/>
      <c r="M301" s="3" t="s">
        <v>105</v>
      </c>
      <c r="N301" s="3" t="s">
        <v>61</v>
      </c>
    </row>
    <row r="302" customFormat="false" ht="13.8" hidden="false" customHeight="false" outlineLevel="0" collapsed="false">
      <c r="A302" s="3" t="n">
        <v>301</v>
      </c>
      <c r="B302" s="3" t="s">
        <v>345</v>
      </c>
      <c r="C302" s="3" t="s">
        <v>105</v>
      </c>
      <c r="D302" s="3" t="s">
        <v>77</v>
      </c>
      <c r="E302" s="25" t="s">
        <v>482</v>
      </c>
      <c r="F302" s="3" t="s">
        <v>105</v>
      </c>
      <c r="G302" s="3" t="s">
        <v>61</v>
      </c>
      <c r="J302" s="13" t="n">
        <f aca="false">_xlfn.IFS(F302="","",M302=F302,1,M302&lt;&gt;F302,0)</f>
        <v>1</v>
      </c>
      <c r="K302" s="13" t="n">
        <f aca="false">_xlfn.IFS(G302="","",N302=G302,1,N302&lt;&gt;G302,0)</f>
        <v>0</v>
      </c>
      <c r="L302" s="3"/>
      <c r="M302" s="3" t="s">
        <v>105</v>
      </c>
      <c r="N302" s="3" t="s">
        <v>894</v>
      </c>
    </row>
    <row r="303" customFormat="false" ht="13.8" hidden="false" customHeight="false" outlineLevel="0" collapsed="false">
      <c r="A303" s="3" t="n">
        <v>302</v>
      </c>
      <c r="B303" s="3" t="s">
        <v>485</v>
      </c>
      <c r="C303" s="3" t="s">
        <v>105</v>
      </c>
      <c r="D303" s="3" t="s">
        <v>77</v>
      </c>
      <c r="E303" s="25" t="s">
        <v>891</v>
      </c>
      <c r="F303" s="3" t="s">
        <v>164</v>
      </c>
      <c r="G303" s="3" t="s">
        <v>899</v>
      </c>
      <c r="J303" s="13" t="n">
        <f aca="false">_xlfn.IFS(F303="","",M303=F303,1,M303&lt;&gt;F303,0)</f>
        <v>0</v>
      </c>
      <c r="K303" s="13" t="n">
        <f aca="false">_xlfn.IFS(G303="","",N303=G303,1,N303&lt;&gt;G303,0)</f>
        <v>0</v>
      </c>
      <c r="L303" s="3"/>
      <c r="M303" s="3" t="s">
        <v>105</v>
      </c>
      <c r="N303" s="3" t="s">
        <v>894</v>
      </c>
    </row>
    <row r="304" customFormat="false" ht="13.8" hidden="false" customHeight="false" outlineLevel="0" collapsed="false">
      <c r="A304" s="3" t="n">
        <v>303</v>
      </c>
      <c r="B304" s="3" t="s">
        <v>126</v>
      </c>
      <c r="C304" s="3" t="s">
        <v>105</v>
      </c>
      <c r="D304" s="3" t="s">
        <v>61</v>
      </c>
      <c r="E304" s="25" t="s">
        <v>482</v>
      </c>
      <c r="F304" s="3" t="s">
        <v>81</v>
      </c>
      <c r="G304" s="3"/>
      <c r="J304" s="13" t="n">
        <f aca="false">_xlfn.IFS(F304="","",M304=F304,1,M304&lt;&gt;F304,0)</f>
        <v>0</v>
      </c>
      <c r="K304" s="13" t="str">
        <f aca="false">_xlfn.IFS(G304="","",N304=G304,1,N304&lt;&gt;G304,0)</f>
        <v/>
      </c>
      <c r="L304" s="3"/>
      <c r="M304" s="3" t="s">
        <v>105</v>
      </c>
      <c r="N304" s="3" t="s">
        <v>61</v>
      </c>
    </row>
    <row r="305" customFormat="false" ht="13.8" hidden="false" customHeight="false" outlineLevel="0" collapsed="false">
      <c r="A305" s="3" t="n">
        <v>304</v>
      </c>
      <c r="B305" s="3" t="s">
        <v>346</v>
      </c>
      <c r="C305" s="3" t="s">
        <v>105</v>
      </c>
      <c r="D305" s="3" t="s">
        <v>61</v>
      </c>
      <c r="E305" s="25" t="s">
        <v>896</v>
      </c>
      <c r="F305" s="3"/>
      <c r="G305" s="3"/>
      <c r="J305" s="13" t="str">
        <f aca="false">_xlfn.IFS(F305="","",M305=F305,1,M305&lt;&gt;F305,0)</f>
        <v/>
      </c>
      <c r="K305" s="13" t="str">
        <f aca="false">_xlfn.IFS(G305="","",N305=G305,1,N305&lt;&gt;G305,0)</f>
        <v/>
      </c>
      <c r="L305" s="3"/>
      <c r="M305" s="3" t="s">
        <v>105</v>
      </c>
      <c r="N305" s="3" t="s">
        <v>61</v>
      </c>
    </row>
    <row r="306" customFormat="false" ht="13.8" hidden="false" customHeight="false" outlineLevel="0" collapsed="false">
      <c r="A306" s="3" t="n">
        <v>305</v>
      </c>
      <c r="B306" s="3" t="s">
        <v>715</v>
      </c>
      <c r="C306" s="3" t="s">
        <v>143</v>
      </c>
      <c r="D306" s="3" t="s">
        <v>288</v>
      </c>
      <c r="E306" s="25" t="s">
        <v>482</v>
      </c>
      <c r="F306" s="3" t="s">
        <v>81</v>
      </c>
      <c r="G306" s="3"/>
      <c r="J306" s="13"/>
      <c r="K306" s="13"/>
      <c r="L306" s="3" t="s">
        <v>257</v>
      </c>
      <c r="M306" s="3" t="s">
        <v>143</v>
      </c>
      <c r="N306" s="3" t="s">
        <v>288</v>
      </c>
    </row>
    <row r="307" customFormat="false" ht="13.8" hidden="false" customHeight="false" outlineLevel="0" collapsed="false">
      <c r="A307" s="3" t="n">
        <v>306</v>
      </c>
      <c r="B307" s="3" t="s">
        <v>544</v>
      </c>
      <c r="C307" s="3" t="s">
        <v>105</v>
      </c>
      <c r="D307" s="3" t="s">
        <v>61</v>
      </c>
      <c r="E307" s="25" t="s">
        <v>896</v>
      </c>
      <c r="F307" s="3"/>
      <c r="G307" s="3"/>
      <c r="J307" s="13" t="str">
        <f aca="false">_xlfn.IFS(F307="","",M307=F307,1,M307&lt;&gt;F307,0)</f>
        <v/>
      </c>
      <c r="K307" s="13" t="str">
        <f aca="false">_xlfn.IFS(G307="","",N307=G307,1,N307&lt;&gt;G307,0)</f>
        <v/>
      </c>
      <c r="L307" s="3"/>
      <c r="M307" s="3" t="s">
        <v>105</v>
      </c>
      <c r="N307" s="3" t="s">
        <v>61</v>
      </c>
    </row>
    <row r="308" customFormat="false" ht="13.8" hidden="false" customHeight="false" outlineLevel="0" collapsed="false">
      <c r="A308" s="3" t="n">
        <v>307</v>
      </c>
      <c r="B308" s="3" t="s">
        <v>727</v>
      </c>
      <c r="C308" s="3" t="s">
        <v>105</v>
      </c>
      <c r="D308" s="3" t="s">
        <v>77</v>
      </c>
      <c r="E308" s="25" t="s">
        <v>891</v>
      </c>
      <c r="F308" s="3" t="s">
        <v>164</v>
      </c>
      <c r="G308" s="3" t="s">
        <v>154</v>
      </c>
      <c r="J308" s="13" t="n">
        <f aca="false">_xlfn.IFS(F308="","",M308=F308,1,M308&lt;&gt;F308,0)</f>
        <v>0</v>
      </c>
      <c r="K308" s="13" t="n">
        <f aca="false">_xlfn.IFS(G308="","",N308=G308,1,N308&lt;&gt;G308,0)</f>
        <v>0</v>
      </c>
      <c r="L308" s="3"/>
      <c r="M308" s="3" t="s">
        <v>105</v>
      </c>
      <c r="N308" s="3" t="s">
        <v>894</v>
      </c>
    </row>
    <row r="309" customFormat="false" ht="13.8" hidden="false" customHeight="false" outlineLevel="0" collapsed="false">
      <c r="A309" s="3" t="n">
        <v>308</v>
      </c>
      <c r="B309" s="3" t="s">
        <v>417</v>
      </c>
      <c r="C309" s="3" t="s">
        <v>143</v>
      </c>
      <c r="D309" s="3" t="s">
        <v>198</v>
      </c>
      <c r="E309" s="25" t="s">
        <v>482</v>
      </c>
      <c r="F309" s="3" t="s">
        <v>81</v>
      </c>
      <c r="G309" s="3"/>
      <c r="J309" s="13"/>
      <c r="K309" s="13"/>
      <c r="L309" s="3" t="s">
        <v>257</v>
      </c>
      <c r="M309" s="3" t="s">
        <v>143</v>
      </c>
      <c r="N309" s="3" t="s">
        <v>198</v>
      </c>
    </row>
    <row r="310" customFormat="false" ht="13.8" hidden="false" customHeight="false" outlineLevel="0" collapsed="false">
      <c r="A310" s="3" t="n">
        <v>309</v>
      </c>
      <c r="B310" s="3" t="s">
        <v>592</v>
      </c>
      <c r="C310" s="3" t="s">
        <v>143</v>
      </c>
      <c r="D310" s="3" t="s">
        <v>198</v>
      </c>
      <c r="E310" s="25" t="s">
        <v>891</v>
      </c>
      <c r="F310" s="3" t="s">
        <v>164</v>
      </c>
      <c r="G310" s="3" t="s">
        <v>884</v>
      </c>
      <c r="J310" s="13"/>
      <c r="K310" s="13"/>
      <c r="L310" s="3" t="s">
        <v>257</v>
      </c>
      <c r="M310" s="3" t="s">
        <v>143</v>
      </c>
      <c r="N310" s="3" t="s">
        <v>198</v>
      </c>
    </row>
    <row r="311" customFormat="false" ht="13.8" hidden="false" customHeight="false" outlineLevel="0" collapsed="false">
      <c r="A311" s="3" t="n">
        <v>310</v>
      </c>
      <c r="B311" s="3" t="s">
        <v>783</v>
      </c>
      <c r="C311" s="3" t="s">
        <v>143</v>
      </c>
      <c r="D311" s="3" t="s">
        <v>288</v>
      </c>
      <c r="E311" s="25" t="s">
        <v>482</v>
      </c>
      <c r="F311" s="3" t="s">
        <v>105</v>
      </c>
      <c r="G311" s="3" t="s">
        <v>61</v>
      </c>
      <c r="J311" s="13"/>
      <c r="K311" s="13"/>
      <c r="L311" s="3" t="s">
        <v>257</v>
      </c>
      <c r="M311" s="3" t="s">
        <v>143</v>
      </c>
      <c r="N311" s="3" t="s">
        <v>288</v>
      </c>
    </row>
    <row r="312" customFormat="false" ht="13.8" hidden="false" customHeight="false" outlineLevel="0" collapsed="false">
      <c r="A312" s="3" t="n">
        <v>311</v>
      </c>
      <c r="B312" s="3" t="s">
        <v>508</v>
      </c>
      <c r="C312" s="3" t="s">
        <v>105</v>
      </c>
      <c r="D312" s="3" t="s">
        <v>77</v>
      </c>
      <c r="E312" s="25" t="s">
        <v>891</v>
      </c>
      <c r="F312" s="3" t="s">
        <v>164</v>
      </c>
      <c r="G312" s="3" t="s">
        <v>884</v>
      </c>
      <c r="J312" s="13" t="n">
        <f aca="false">_xlfn.IFS(F312="","",M312=F312,1,M312&lt;&gt;F312,0)</f>
        <v>0</v>
      </c>
      <c r="K312" s="13" t="n">
        <f aca="false">_xlfn.IFS(G312="","",N312=G312,1,N312&lt;&gt;G312,0)</f>
        <v>0</v>
      </c>
      <c r="L312" s="3"/>
      <c r="M312" s="3" t="s">
        <v>105</v>
      </c>
      <c r="N312" s="3" t="s">
        <v>894</v>
      </c>
    </row>
    <row r="313" customFormat="false" ht="13.8" hidden="false" customHeight="false" outlineLevel="0" collapsed="false">
      <c r="A313" s="3" t="n">
        <v>312</v>
      </c>
      <c r="B313" s="3" t="s">
        <v>289</v>
      </c>
      <c r="C313" s="3" t="s">
        <v>105</v>
      </c>
      <c r="D313" s="3" t="s">
        <v>61</v>
      </c>
      <c r="E313" s="25" t="s">
        <v>896</v>
      </c>
      <c r="F313" s="3"/>
      <c r="G313" s="3"/>
      <c r="J313" s="13" t="str">
        <f aca="false">_xlfn.IFS(F313="","",M313=F313,1,M313&lt;&gt;F313,0)</f>
        <v/>
      </c>
      <c r="K313" s="13" t="str">
        <f aca="false">_xlfn.IFS(G313="","",N313=G313,1,N313&lt;&gt;G313,0)</f>
        <v/>
      </c>
      <c r="L313" s="3"/>
      <c r="M313" s="3" t="s">
        <v>105</v>
      </c>
      <c r="N313" s="3" t="s">
        <v>61</v>
      </c>
    </row>
    <row r="314" customFormat="false" ht="13.8" hidden="false" customHeight="false" outlineLevel="0" collapsed="false">
      <c r="A314" s="3" t="n">
        <v>313</v>
      </c>
      <c r="B314" s="3" t="s">
        <v>400</v>
      </c>
      <c r="C314" s="3" t="s">
        <v>105</v>
      </c>
      <c r="D314" s="3" t="s">
        <v>61</v>
      </c>
      <c r="E314" s="25" t="s">
        <v>891</v>
      </c>
      <c r="F314" s="3" t="s">
        <v>164</v>
      </c>
      <c r="G314" s="3" t="s">
        <v>63</v>
      </c>
      <c r="J314" s="13" t="n">
        <f aca="false">_xlfn.IFS(F314="","",M314=F314,1,M314&lt;&gt;F314,0)</f>
        <v>0</v>
      </c>
      <c r="K314" s="13" t="n">
        <f aca="false">_xlfn.IFS(G314="","",N314=G314,1,N314&lt;&gt;G314,0)</f>
        <v>0</v>
      </c>
      <c r="L314" s="3"/>
      <c r="M314" s="3" t="s">
        <v>105</v>
      </c>
      <c r="N314" s="3" t="s">
        <v>61</v>
      </c>
    </row>
    <row r="315" customFormat="false" ht="13.8" hidden="false" customHeight="false" outlineLevel="0" collapsed="false">
      <c r="A315" s="3" t="n">
        <v>314</v>
      </c>
      <c r="B315" s="3" t="s">
        <v>769</v>
      </c>
      <c r="C315" s="3" t="s">
        <v>105</v>
      </c>
      <c r="D315" s="3" t="s">
        <v>61</v>
      </c>
      <c r="E315" s="25" t="s">
        <v>482</v>
      </c>
      <c r="F315" s="3" t="s">
        <v>81</v>
      </c>
      <c r="G315" s="3"/>
      <c r="J315" s="13" t="n">
        <f aca="false">_xlfn.IFS(F315="","",M315=F315,1,M315&lt;&gt;F315,0)</f>
        <v>0</v>
      </c>
      <c r="K315" s="13" t="str">
        <f aca="false">_xlfn.IFS(G315="","",N315=G315,1,N315&lt;&gt;G315,0)</f>
        <v/>
      </c>
      <c r="L315" s="3"/>
      <c r="M315" s="3" t="s">
        <v>105</v>
      </c>
      <c r="N315" s="3" t="s">
        <v>61</v>
      </c>
    </row>
    <row r="316" customFormat="false" ht="13.8" hidden="false" customHeight="false" outlineLevel="0" collapsed="false">
      <c r="A316" s="3" t="n">
        <v>315</v>
      </c>
      <c r="B316" s="3" t="s">
        <v>836</v>
      </c>
      <c r="C316" s="3" t="s">
        <v>143</v>
      </c>
      <c r="D316" s="3" t="s">
        <v>198</v>
      </c>
      <c r="E316" s="25" t="s">
        <v>482</v>
      </c>
      <c r="F316" s="3" t="s">
        <v>105</v>
      </c>
      <c r="G316" s="3" t="s">
        <v>61</v>
      </c>
      <c r="J316" s="13"/>
      <c r="K316" s="13"/>
      <c r="L316" s="3" t="s">
        <v>257</v>
      </c>
      <c r="M316" s="3" t="s">
        <v>143</v>
      </c>
      <c r="N316" s="3" t="s">
        <v>198</v>
      </c>
    </row>
    <row r="317" customFormat="false" ht="13.8" hidden="false" customHeight="false" outlineLevel="0" collapsed="false">
      <c r="A317" s="3" t="n">
        <v>316</v>
      </c>
      <c r="B317" s="3" t="s">
        <v>776</v>
      </c>
      <c r="C317" s="3" t="s">
        <v>105</v>
      </c>
      <c r="D317" s="3" t="s">
        <v>61</v>
      </c>
      <c r="E317" s="25" t="s">
        <v>891</v>
      </c>
      <c r="F317" s="3" t="s">
        <v>164</v>
      </c>
      <c r="G317" s="3" t="s">
        <v>63</v>
      </c>
      <c r="J317" s="13" t="n">
        <f aca="false">_xlfn.IFS(F317="","",M317=F317,1,M317&lt;&gt;F317,0)</f>
        <v>0</v>
      </c>
      <c r="K317" s="13" t="n">
        <f aca="false">_xlfn.IFS(G317="","",N317=G317,1,N317&lt;&gt;G317,0)</f>
        <v>0</v>
      </c>
      <c r="L317" s="3"/>
      <c r="M317" s="3" t="s">
        <v>105</v>
      </c>
      <c r="N317" s="3" t="s">
        <v>61</v>
      </c>
    </row>
    <row r="318" customFormat="false" ht="13.8" hidden="false" customHeight="false" outlineLevel="0" collapsed="false">
      <c r="A318" s="3" t="n">
        <v>317</v>
      </c>
      <c r="B318" s="3" t="s">
        <v>429</v>
      </c>
      <c r="C318" s="3" t="s">
        <v>105</v>
      </c>
      <c r="D318" s="3" t="s">
        <v>61</v>
      </c>
      <c r="E318" s="25" t="s">
        <v>896</v>
      </c>
      <c r="F318" s="3"/>
      <c r="G318" s="3"/>
      <c r="J318" s="13" t="str">
        <f aca="false">_xlfn.IFS(F318="","",M318=F318,1,M318&lt;&gt;F318,0)</f>
        <v/>
      </c>
      <c r="K318" s="13" t="str">
        <f aca="false">_xlfn.IFS(G318="","",N318=G318,1,N318&lt;&gt;G318,0)</f>
        <v/>
      </c>
      <c r="L318" s="3"/>
      <c r="M318" s="3" t="s">
        <v>105</v>
      </c>
      <c r="N318" s="3" t="s">
        <v>61</v>
      </c>
    </row>
    <row r="319" customFormat="false" ht="13.8" hidden="false" customHeight="false" outlineLevel="0" collapsed="false">
      <c r="A319" s="3" t="n">
        <v>318</v>
      </c>
      <c r="B319" s="3" t="s">
        <v>781</v>
      </c>
      <c r="C319" s="3" t="s">
        <v>105</v>
      </c>
      <c r="D319" s="3" t="s">
        <v>77</v>
      </c>
      <c r="E319" s="25" t="s">
        <v>896</v>
      </c>
      <c r="F319" s="3"/>
      <c r="G319" s="3"/>
      <c r="J319" s="13" t="str">
        <f aca="false">_xlfn.IFS(F319="","",M319=F319,1,M319&lt;&gt;F319,0)</f>
        <v/>
      </c>
      <c r="K319" s="13" t="str">
        <f aca="false">_xlfn.IFS(G319="","",N319=G319,1,N319&lt;&gt;G319,0)</f>
        <v/>
      </c>
      <c r="L319" s="3"/>
      <c r="M319" s="3" t="s">
        <v>105</v>
      </c>
      <c r="N319" s="3" t="s">
        <v>894</v>
      </c>
    </row>
    <row r="320" customFormat="false" ht="13.8" hidden="false" customHeight="false" outlineLevel="0" collapsed="false">
      <c r="A320" s="3" t="n">
        <v>319</v>
      </c>
      <c r="B320" s="3" t="s">
        <v>290</v>
      </c>
      <c r="C320" s="3" t="s">
        <v>105</v>
      </c>
      <c r="D320" s="3" t="s">
        <v>61</v>
      </c>
      <c r="E320" s="25" t="s">
        <v>891</v>
      </c>
      <c r="F320" s="3" t="s">
        <v>164</v>
      </c>
      <c r="G320" s="3" t="s">
        <v>63</v>
      </c>
      <c r="J320" s="13" t="n">
        <f aca="false">_xlfn.IFS(F320="","",M320=F320,1,M320&lt;&gt;F320,0)</f>
        <v>0</v>
      </c>
      <c r="K320" s="13" t="n">
        <f aca="false">_xlfn.IFS(G320="","",N320=G320,1,N320&lt;&gt;G320,0)</f>
        <v>0</v>
      </c>
      <c r="L320" s="3"/>
      <c r="M320" s="3" t="s">
        <v>105</v>
      </c>
      <c r="N320" s="3" t="s">
        <v>61</v>
      </c>
    </row>
    <row r="321" customFormat="false" ht="13.8" hidden="false" customHeight="false" outlineLevel="0" collapsed="false">
      <c r="A321" s="3" t="n">
        <v>320</v>
      </c>
      <c r="B321" s="3" t="s">
        <v>750</v>
      </c>
      <c r="C321" s="3" t="s">
        <v>143</v>
      </c>
      <c r="D321" s="3" t="s">
        <v>288</v>
      </c>
      <c r="E321" s="25" t="s">
        <v>482</v>
      </c>
      <c r="F321" s="3" t="s">
        <v>105</v>
      </c>
      <c r="G321" s="3" t="s">
        <v>61</v>
      </c>
      <c r="J321" s="13"/>
      <c r="K321" s="13"/>
      <c r="L321" s="3" t="s">
        <v>257</v>
      </c>
      <c r="M321" s="3" t="s">
        <v>143</v>
      </c>
      <c r="N321" s="3" t="s">
        <v>288</v>
      </c>
    </row>
    <row r="322" customFormat="false" ht="13.8" hidden="false" customHeight="false" outlineLevel="0" collapsed="false">
      <c r="A322" s="3" t="n">
        <v>321</v>
      </c>
      <c r="B322" s="3" t="s">
        <v>127</v>
      </c>
      <c r="C322" s="3" t="s">
        <v>105</v>
      </c>
      <c r="D322" s="3" t="s">
        <v>61</v>
      </c>
      <c r="E322" s="25" t="s">
        <v>891</v>
      </c>
      <c r="F322" s="3" t="s">
        <v>164</v>
      </c>
      <c r="G322" s="3" t="s">
        <v>899</v>
      </c>
      <c r="J322" s="13" t="n">
        <f aca="false">_xlfn.IFS(F322="","",M322=F322,1,M322&lt;&gt;F322,0)</f>
        <v>0</v>
      </c>
      <c r="K322" s="13" t="n">
        <f aca="false">_xlfn.IFS(G322="","",N322=G322,1,N322&lt;&gt;G322,0)</f>
        <v>0</v>
      </c>
      <c r="L322" s="3"/>
      <c r="M322" s="3" t="s">
        <v>105</v>
      </c>
      <c r="N322" s="3" t="s">
        <v>61</v>
      </c>
    </row>
    <row r="323" customFormat="false" ht="13.8" hidden="false" customHeight="false" outlineLevel="0" collapsed="false">
      <c r="A323" s="3" t="n">
        <v>322</v>
      </c>
      <c r="B323" s="3" t="s">
        <v>503</v>
      </c>
      <c r="C323" s="3" t="s">
        <v>143</v>
      </c>
      <c r="D323" s="3" t="s">
        <v>198</v>
      </c>
      <c r="E323" s="25" t="s">
        <v>482</v>
      </c>
      <c r="F323" s="3" t="s">
        <v>81</v>
      </c>
      <c r="G323" s="3"/>
      <c r="J323" s="13"/>
      <c r="K323" s="13"/>
      <c r="L323" s="3" t="s">
        <v>257</v>
      </c>
      <c r="M323" s="3" t="s">
        <v>143</v>
      </c>
      <c r="N323" s="3" t="s">
        <v>198</v>
      </c>
    </row>
    <row r="324" customFormat="false" ht="13.8" hidden="false" customHeight="false" outlineLevel="0" collapsed="false">
      <c r="A324" s="3" t="n">
        <v>323</v>
      </c>
      <c r="B324" s="3" t="s">
        <v>406</v>
      </c>
      <c r="C324" s="3" t="s">
        <v>105</v>
      </c>
      <c r="D324" s="3" t="s">
        <v>61</v>
      </c>
      <c r="E324" s="25" t="s">
        <v>891</v>
      </c>
      <c r="F324" s="3" t="s">
        <v>164</v>
      </c>
      <c r="G324" s="3" t="s">
        <v>63</v>
      </c>
      <c r="J324" s="13" t="n">
        <f aca="false">_xlfn.IFS(F324="","",M324=F324,1,M324&lt;&gt;F324,0)</f>
        <v>0</v>
      </c>
      <c r="K324" s="13" t="n">
        <f aca="false">_xlfn.IFS(G324="","",N324=G324,1,N324&lt;&gt;G324,0)</f>
        <v>0</v>
      </c>
      <c r="L324" s="3"/>
      <c r="M324" s="3" t="s">
        <v>105</v>
      </c>
      <c r="N324" s="3" t="s">
        <v>61</v>
      </c>
    </row>
    <row r="325" customFormat="false" ht="13.8" hidden="false" customHeight="false" outlineLevel="0" collapsed="false">
      <c r="A325" s="3" t="n">
        <v>324</v>
      </c>
      <c r="B325" s="3" t="s">
        <v>730</v>
      </c>
      <c r="C325" s="3" t="s">
        <v>105</v>
      </c>
      <c r="D325" s="3" t="s">
        <v>77</v>
      </c>
      <c r="E325" s="25" t="s">
        <v>482</v>
      </c>
      <c r="F325" s="3" t="s">
        <v>81</v>
      </c>
      <c r="G325" s="3"/>
      <c r="J325" s="13" t="n">
        <f aca="false">_xlfn.IFS(F325="","",M325=F325,1,M325&lt;&gt;F325,0)</f>
        <v>0</v>
      </c>
      <c r="K325" s="13" t="str">
        <f aca="false">_xlfn.IFS(G325="","",N325=G325,1,N325&lt;&gt;G325,0)</f>
        <v/>
      </c>
      <c r="L325" s="3"/>
      <c r="M325" s="3" t="s">
        <v>105</v>
      </c>
      <c r="N325" s="3" t="s">
        <v>894</v>
      </c>
    </row>
    <row r="326" customFormat="false" ht="13.8" hidden="false" customHeight="false" outlineLevel="0" collapsed="false">
      <c r="A326" s="3" t="n">
        <v>325</v>
      </c>
      <c r="B326" s="3" t="s">
        <v>555</v>
      </c>
      <c r="C326" s="3" t="s">
        <v>105</v>
      </c>
      <c r="D326" s="3" t="s">
        <v>61</v>
      </c>
      <c r="E326" s="25" t="s">
        <v>482</v>
      </c>
      <c r="F326" s="3" t="s">
        <v>105</v>
      </c>
      <c r="G326" s="3" t="s">
        <v>894</v>
      </c>
      <c r="J326" s="13" t="n">
        <f aca="false">_xlfn.IFS(F326="","",M326=F326,1,M326&lt;&gt;F326,0)</f>
        <v>1</v>
      </c>
      <c r="K326" s="13" t="n">
        <f aca="false">_xlfn.IFS(G326="","",N326=G326,1,N326&lt;&gt;G326,0)</f>
        <v>0</v>
      </c>
      <c r="L326" s="3"/>
      <c r="M326" s="3" t="s">
        <v>105</v>
      </c>
      <c r="N326" s="3" t="s">
        <v>61</v>
      </c>
    </row>
    <row r="327" customFormat="false" ht="13.8" hidden="false" customHeight="false" outlineLevel="0" collapsed="false">
      <c r="A327" s="3" t="n">
        <v>326</v>
      </c>
      <c r="B327" s="3" t="s">
        <v>500</v>
      </c>
      <c r="C327" s="3" t="s">
        <v>105</v>
      </c>
      <c r="D327" s="3" t="s">
        <v>77</v>
      </c>
      <c r="E327" s="25" t="s">
        <v>891</v>
      </c>
      <c r="F327" s="3" t="s">
        <v>164</v>
      </c>
      <c r="G327" s="3" t="s">
        <v>154</v>
      </c>
      <c r="J327" s="13" t="n">
        <f aca="false">_xlfn.IFS(F327="","",M327=F327,1,M327&lt;&gt;F327,0)</f>
        <v>0</v>
      </c>
      <c r="K327" s="13" t="n">
        <f aca="false">_xlfn.IFS(G327="","",N327=G327,1,N327&lt;&gt;G327,0)</f>
        <v>0</v>
      </c>
      <c r="L327" s="3"/>
      <c r="M327" s="3" t="s">
        <v>105</v>
      </c>
      <c r="N327" s="3" t="s">
        <v>894</v>
      </c>
    </row>
    <row r="328" customFormat="false" ht="13.8" hidden="false" customHeight="false" outlineLevel="0" collapsed="false">
      <c r="A328" s="3" t="n">
        <v>327</v>
      </c>
      <c r="B328" s="3" t="s">
        <v>733</v>
      </c>
      <c r="C328" s="3" t="s">
        <v>105</v>
      </c>
      <c r="D328" s="3" t="s">
        <v>61</v>
      </c>
      <c r="E328" s="25" t="s">
        <v>482</v>
      </c>
      <c r="F328" s="3" t="s">
        <v>105</v>
      </c>
      <c r="G328" s="3" t="s">
        <v>894</v>
      </c>
      <c r="J328" s="13" t="n">
        <f aca="false">_xlfn.IFS(F328="","",M328=F328,1,M328&lt;&gt;F328,0)</f>
        <v>1</v>
      </c>
      <c r="K328" s="13" t="n">
        <f aca="false">_xlfn.IFS(G328="","",N328=G328,1,N328&lt;&gt;G328,0)</f>
        <v>0</v>
      </c>
      <c r="L328" s="3"/>
      <c r="M328" s="3" t="s">
        <v>105</v>
      </c>
      <c r="N328" s="3" t="s">
        <v>61</v>
      </c>
    </row>
    <row r="329" customFormat="false" ht="13.8" hidden="false" customHeight="false" outlineLevel="0" collapsed="false">
      <c r="A329" s="3" t="n">
        <v>328</v>
      </c>
      <c r="B329" s="3" t="s">
        <v>319</v>
      </c>
      <c r="C329" s="3" t="s">
        <v>105</v>
      </c>
      <c r="D329" s="3" t="s">
        <v>61</v>
      </c>
      <c r="E329" s="25" t="s">
        <v>891</v>
      </c>
      <c r="F329" s="3" t="s">
        <v>164</v>
      </c>
      <c r="G329" s="3" t="s">
        <v>63</v>
      </c>
      <c r="J329" s="13" t="n">
        <f aca="false">_xlfn.IFS(F329="","",M329=F329,1,M329&lt;&gt;F329,0)</f>
        <v>0</v>
      </c>
      <c r="K329" s="13" t="n">
        <f aca="false">_xlfn.IFS(G329="","",N329=G329,1,N329&lt;&gt;G329,0)</f>
        <v>0</v>
      </c>
      <c r="L329" s="3"/>
      <c r="M329" s="3" t="s">
        <v>105</v>
      </c>
      <c r="N329" s="3" t="s">
        <v>61</v>
      </c>
    </row>
    <row r="330" customFormat="false" ht="13.8" hidden="false" customHeight="false" outlineLevel="0" collapsed="false">
      <c r="A330" s="3" t="n">
        <v>329</v>
      </c>
      <c r="B330" s="3" t="s">
        <v>607</v>
      </c>
      <c r="C330" s="3" t="s">
        <v>105</v>
      </c>
      <c r="D330" s="3" t="s">
        <v>61</v>
      </c>
      <c r="E330" s="25" t="s">
        <v>891</v>
      </c>
      <c r="F330" s="3" t="s">
        <v>164</v>
      </c>
      <c r="G330" s="3" t="s">
        <v>63</v>
      </c>
      <c r="J330" s="13" t="n">
        <f aca="false">_xlfn.IFS(F330="","",M330=F330,1,M330&lt;&gt;F330,0)</f>
        <v>0</v>
      </c>
      <c r="K330" s="13" t="n">
        <f aca="false">_xlfn.IFS(G330="","",N330=G330,1,N330&lt;&gt;G330,0)</f>
        <v>0</v>
      </c>
      <c r="L330" s="3"/>
      <c r="M330" s="3" t="s">
        <v>105</v>
      </c>
      <c r="N330" s="3" t="s">
        <v>61</v>
      </c>
    </row>
    <row r="331" customFormat="false" ht="13.8" hidden="false" customHeight="false" outlineLevel="0" collapsed="false">
      <c r="A331" s="3" t="n">
        <v>330</v>
      </c>
      <c r="B331" s="3" t="s">
        <v>370</v>
      </c>
      <c r="C331" s="3" t="s">
        <v>143</v>
      </c>
      <c r="D331" s="3" t="s">
        <v>288</v>
      </c>
      <c r="E331" s="25" t="s">
        <v>482</v>
      </c>
      <c r="F331" s="3" t="s">
        <v>105</v>
      </c>
      <c r="G331" s="3" t="s">
        <v>61</v>
      </c>
      <c r="J331" s="13"/>
      <c r="K331" s="13"/>
      <c r="L331" s="3" t="s">
        <v>257</v>
      </c>
      <c r="M331" s="3" t="s">
        <v>143</v>
      </c>
      <c r="N331" s="3" t="s">
        <v>288</v>
      </c>
    </row>
    <row r="332" customFormat="false" ht="13.8" hidden="false" customHeight="false" outlineLevel="0" collapsed="false">
      <c r="A332" s="3" t="n">
        <v>331</v>
      </c>
      <c r="B332" s="3" t="s">
        <v>451</v>
      </c>
      <c r="C332" s="3" t="s">
        <v>105</v>
      </c>
      <c r="D332" s="3" t="s">
        <v>61</v>
      </c>
      <c r="E332" s="25" t="s">
        <v>482</v>
      </c>
      <c r="F332" s="3" t="s">
        <v>105</v>
      </c>
      <c r="G332" s="3" t="s">
        <v>61</v>
      </c>
      <c r="J332" s="13" t="n">
        <f aca="false">_xlfn.IFS(F332="","",M332=F332,1,M332&lt;&gt;F332,0)</f>
        <v>1</v>
      </c>
      <c r="K332" s="13" t="n">
        <f aca="false">_xlfn.IFS(G332="","",N332=G332,1,N332&lt;&gt;G332,0)</f>
        <v>1</v>
      </c>
      <c r="L332" s="3"/>
      <c r="M332" s="3" t="s">
        <v>105</v>
      </c>
      <c r="N332" s="3" t="s">
        <v>61</v>
      </c>
    </row>
    <row r="333" customFormat="false" ht="13.8" hidden="false" customHeight="false" outlineLevel="0" collapsed="false">
      <c r="A333" s="3" t="n">
        <v>332</v>
      </c>
      <c r="B333" s="3" t="s">
        <v>865</v>
      </c>
      <c r="C333" s="3" t="s">
        <v>105</v>
      </c>
      <c r="D333" s="3" t="s">
        <v>61</v>
      </c>
      <c r="E333" s="25" t="s">
        <v>896</v>
      </c>
      <c r="F333" s="3"/>
      <c r="G333" s="3"/>
      <c r="J333" s="13" t="str">
        <f aca="false">_xlfn.IFS(F333="","",M333=F333,1,M333&lt;&gt;F333,0)</f>
        <v/>
      </c>
      <c r="K333" s="13" t="str">
        <f aca="false">_xlfn.IFS(G333="","",N333=G333,1,N333&lt;&gt;G333,0)</f>
        <v/>
      </c>
      <c r="L333" s="3"/>
      <c r="M333" s="3" t="s">
        <v>105</v>
      </c>
      <c r="N333" s="3" t="s">
        <v>61</v>
      </c>
    </row>
    <row r="334" customFormat="false" ht="13.8" hidden="false" customHeight="false" outlineLevel="0" collapsed="false">
      <c r="A334" s="3" t="n">
        <v>333</v>
      </c>
      <c r="B334" s="3" t="s">
        <v>735</v>
      </c>
      <c r="C334" s="3" t="s">
        <v>105</v>
      </c>
      <c r="D334" s="3" t="s">
        <v>61</v>
      </c>
      <c r="E334" s="25" t="s">
        <v>891</v>
      </c>
      <c r="F334" s="3" t="s">
        <v>164</v>
      </c>
      <c r="G334" s="3" t="s">
        <v>154</v>
      </c>
      <c r="J334" s="13" t="n">
        <f aca="false">_xlfn.IFS(F334="","",M334=F334,1,M334&lt;&gt;F334,0)</f>
        <v>0</v>
      </c>
      <c r="K334" s="13" t="n">
        <f aca="false">_xlfn.IFS(G334="","",N334=G334,1,N334&lt;&gt;G334,0)</f>
        <v>0</v>
      </c>
      <c r="L334" s="3"/>
      <c r="M334" s="3" t="s">
        <v>105</v>
      </c>
      <c r="N334" s="3" t="s">
        <v>61</v>
      </c>
    </row>
    <row r="335" customFormat="false" ht="13.8" hidden="false" customHeight="false" outlineLevel="0" collapsed="false">
      <c r="A335" s="3" t="n">
        <v>334</v>
      </c>
      <c r="B335" s="3" t="s">
        <v>642</v>
      </c>
      <c r="C335" s="3" t="s">
        <v>143</v>
      </c>
      <c r="D335" s="3" t="s">
        <v>589</v>
      </c>
      <c r="E335" s="25" t="s">
        <v>482</v>
      </c>
      <c r="F335" s="3" t="s">
        <v>105</v>
      </c>
      <c r="G335" s="3" t="s">
        <v>61</v>
      </c>
      <c r="J335" s="13" t="n">
        <f aca="false">_xlfn.IFS(F335="","",M335=F335,1,M335&lt;&gt;F335,0)</f>
        <v>0</v>
      </c>
      <c r="K335" s="13" t="n">
        <f aca="false">_xlfn.IFS(G335="","",N335=G335,1,N335&lt;&gt;G335,0)</f>
        <v>0</v>
      </c>
      <c r="L335" s="3"/>
      <c r="M335" s="3" t="s">
        <v>143</v>
      </c>
      <c r="N335" s="3" t="s">
        <v>589</v>
      </c>
    </row>
    <row r="336" customFormat="false" ht="13.8" hidden="false" customHeight="false" outlineLevel="0" collapsed="false">
      <c r="A336" s="3" t="n">
        <v>335</v>
      </c>
      <c r="B336" s="3" t="s">
        <v>600</v>
      </c>
      <c r="C336" s="3" t="s">
        <v>105</v>
      </c>
      <c r="D336" s="3" t="s">
        <v>61</v>
      </c>
      <c r="E336" s="25" t="s">
        <v>891</v>
      </c>
      <c r="F336" s="3" t="s">
        <v>164</v>
      </c>
      <c r="G336" s="3" t="s">
        <v>154</v>
      </c>
      <c r="J336" s="13" t="n">
        <f aca="false">_xlfn.IFS(F336="","",M336=F336,1,M336&lt;&gt;F336,0)</f>
        <v>0</v>
      </c>
      <c r="K336" s="13" t="n">
        <f aca="false">_xlfn.IFS(G336="","",N336=G336,1,N336&lt;&gt;G336,0)</f>
        <v>0</v>
      </c>
      <c r="L336" s="3"/>
      <c r="M336" s="3" t="s">
        <v>105</v>
      </c>
      <c r="N336" s="3" t="s">
        <v>61</v>
      </c>
    </row>
    <row r="337" customFormat="false" ht="13.8" hidden="false" customHeight="false" outlineLevel="0" collapsed="false">
      <c r="A337" s="3" t="n">
        <v>336</v>
      </c>
      <c r="B337" s="3" t="s">
        <v>651</v>
      </c>
      <c r="C337" s="3" t="s">
        <v>150</v>
      </c>
      <c r="D337" s="3" t="s">
        <v>245</v>
      </c>
      <c r="E337" s="25" t="s">
        <v>896</v>
      </c>
      <c r="F337" s="3"/>
      <c r="G337" s="3"/>
      <c r="J337" s="13" t="str">
        <f aca="false">_xlfn.IFS(F337="","",M337=F337,1,M337&lt;&gt;F337,0)</f>
        <v/>
      </c>
      <c r="K337" s="13" t="str">
        <f aca="false">_xlfn.IFS(G337="","",N337=G337,1,N337&lt;&gt;G337,0)</f>
        <v/>
      </c>
      <c r="L337" s="3"/>
      <c r="M337" s="3" t="s">
        <v>164</v>
      </c>
      <c r="N337" s="3" t="s">
        <v>899</v>
      </c>
    </row>
    <row r="338" customFormat="false" ht="13.8" hidden="false" customHeight="false" outlineLevel="0" collapsed="false">
      <c r="A338" s="3" t="n">
        <v>337</v>
      </c>
      <c r="B338" s="3" t="s">
        <v>533</v>
      </c>
      <c r="C338" s="3" t="s">
        <v>105</v>
      </c>
      <c r="D338" s="3" t="s">
        <v>77</v>
      </c>
      <c r="E338" s="25" t="s">
        <v>482</v>
      </c>
      <c r="F338" s="3" t="s">
        <v>81</v>
      </c>
      <c r="G338" s="3"/>
      <c r="J338" s="13" t="n">
        <f aca="false">_xlfn.IFS(F338="","",M338=F338,1,M338&lt;&gt;F338,0)</f>
        <v>0</v>
      </c>
      <c r="K338" s="13" t="str">
        <f aca="false">_xlfn.IFS(G338="","",N338=G338,1,N338&lt;&gt;G338,0)</f>
        <v/>
      </c>
      <c r="L338" s="3"/>
      <c r="M338" s="3" t="s">
        <v>105</v>
      </c>
      <c r="N338" s="3" t="s">
        <v>894</v>
      </c>
    </row>
    <row r="339" customFormat="false" ht="13.8" hidden="false" customHeight="false" outlineLevel="0" collapsed="false">
      <c r="A339" s="3" t="n">
        <v>338</v>
      </c>
      <c r="B339" s="3" t="s">
        <v>565</v>
      </c>
      <c r="C339" s="3" t="s">
        <v>143</v>
      </c>
      <c r="D339" s="3" t="s">
        <v>288</v>
      </c>
      <c r="E339" s="25" t="s">
        <v>482</v>
      </c>
      <c r="F339" s="3" t="s">
        <v>81</v>
      </c>
      <c r="G339" s="3"/>
      <c r="J339" s="13"/>
      <c r="K339" s="13"/>
      <c r="L339" s="3" t="s">
        <v>257</v>
      </c>
      <c r="M339" s="3" t="s">
        <v>143</v>
      </c>
      <c r="N339" s="3" t="s">
        <v>288</v>
      </c>
    </row>
    <row r="340" customFormat="false" ht="13.8" hidden="false" customHeight="false" outlineLevel="0" collapsed="false">
      <c r="A340" s="3" t="n">
        <v>339</v>
      </c>
      <c r="B340" s="3" t="s">
        <v>371</v>
      </c>
      <c r="C340" s="3" t="s">
        <v>105</v>
      </c>
      <c r="D340" s="3" t="s">
        <v>61</v>
      </c>
      <c r="E340" s="25" t="s">
        <v>896</v>
      </c>
      <c r="F340" s="3"/>
      <c r="G340" s="3"/>
      <c r="J340" s="13" t="str">
        <f aca="false">_xlfn.IFS(F340="","",M340=F340,1,M340&lt;&gt;F340,0)</f>
        <v/>
      </c>
      <c r="K340" s="13" t="str">
        <f aca="false">_xlfn.IFS(G340="","",N340=G340,1,N340&lt;&gt;G340,0)</f>
        <v/>
      </c>
      <c r="L340" s="3"/>
      <c r="M340" s="3" t="s">
        <v>105</v>
      </c>
      <c r="N340" s="3" t="s">
        <v>61</v>
      </c>
    </row>
    <row r="341" customFormat="false" ht="13.8" hidden="false" customHeight="false" outlineLevel="0" collapsed="false">
      <c r="A341" s="3" t="n">
        <v>340</v>
      </c>
      <c r="B341" s="3" t="s">
        <v>782</v>
      </c>
      <c r="C341" s="3" t="s">
        <v>105</v>
      </c>
      <c r="D341" s="3" t="s">
        <v>61</v>
      </c>
      <c r="E341" s="25" t="s">
        <v>482</v>
      </c>
      <c r="F341" s="3" t="s">
        <v>105</v>
      </c>
      <c r="G341" s="3" t="s">
        <v>61</v>
      </c>
      <c r="J341" s="13" t="n">
        <f aca="false">_xlfn.IFS(F341="","",M341=F341,1,M341&lt;&gt;F341,0)</f>
        <v>1</v>
      </c>
      <c r="K341" s="13" t="n">
        <f aca="false">_xlfn.IFS(G341="","",N341=G341,1,N341&lt;&gt;G341,0)</f>
        <v>1</v>
      </c>
      <c r="L341" s="3"/>
      <c r="M341" s="3" t="s">
        <v>105</v>
      </c>
      <c r="N341" s="3" t="s">
        <v>61</v>
      </c>
    </row>
    <row r="342" customFormat="false" ht="13.8" hidden="false" customHeight="false" outlineLevel="0" collapsed="false">
      <c r="A342" s="3" t="n">
        <v>341</v>
      </c>
      <c r="B342" s="3" t="s">
        <v>736</v>
      </c>
      <c r="C342" s="3" t="s">
        <v>105</v>
      </c>
      <c r="D342" s="3" t="s">
        <v>61</v>
      </c>
      <c r="E342" s="25" t="s">
        <v>482</v>
      </c>
      <c r="F342" s="3" t="s">
        <v>105</v>
      </c>
      <c r="G342" s="3" t="s">
        <v>61</v>
      </c>
      <c r="J342" s="13" t="n">
        <f aca="false">_xlfn.IFS(F342="","",M342=F342,1,M342&lt;&gt;F342,0)</f>
        <v>1</v>
      </c>
      <c r="K342" s="13" t="n">
        <f aca="false">_xlfn.IFS(G342="","",N342=G342,1,N342&lt;&gt;G342,0)</f>
        <v>1</v>
      </c>
      <c r="L342" s="3"/>
      <c r="M342" s="3" t="s">
        <v>105</v>
      </c>
      <c r="N342" s="3" t="s">
        <v>61</v>
      </c>
    </row>
    <row r="343" customFormat="false" ht="13.8" hidden="false" customHeight="false" outlineLevel="0" collapsed="false">
      <c r="A343" s="3" t="n">
        <v>342</v>
      </c>
      <c r="B343" s="3" t="s">
        <v>572</v>
      </c>
      <c r="C343" s="3" t="s">
        <v>105</v>
      </c>
      <c r="D343" s="3" t="s">
        <v>61</v>
      </c>
      <c r="E343" s="25" t="s">
        <v>891</v>
      </c>
      <c r="F343" s="3" t="s">
        <v>164</v>
      </c>
      <c r="G343" s="3" t="s">
        <v>884</v>
      </c>
      <c r="J343" s="13" t="n">
        <f aca="false">_xlfn.IFS(F343="","",M343=F343,1,M343&lt;&gt;F343,0)</f>
        <v>0</v>
      </c>
      <c r="K343" s="13" t="n">
        <f aca="false">_xlfn.IFS(G343="","",N343=G343,1,N343&lt;&gt;G343,0)</f>
        <v>0</v>
      </c>
      <c r="L343" s="3"/>
      <c r="M343" s="3" t="s">
        <v>105</v>
      </c>
      <c r="N343" s="3" t="s">
        <v>61</v>
      </c>
    </row>
    <row r="344" customFormat="false" ht="13.8" hidden="false" customHeight="false" outlineLevel="0" collapsed="false">
      <c r="A344" s="3" t="n">
        <v>343</v>
      </c>
      <c r="B344" s="3" t="s">
        <v>741</v>
      </c>
      <c r="C344" s="3" t="s">
        <v>143</v>
      </c>
      <c r="D344" s="3" t="s">
        <v>198</v>
      </c>
      <c r="E344" s="25" t="s">
        <v>891</v>
      </c>
      <c r="F344" s="3" t="s">
        <v>164</v>
      </c>
      <c r="G344" s="3" t="s">
        <v>63</v>
      </c>
      <c r="J344" s="13"/>
      <c r="K344" s="13"/>
      <c r="L344" s="3" t="s">
        <v>257</v>
      </c>
      <c r="M344" s="3" t="s">
        <v>143</v>
      </c>
      <c r="N344" s="3" t="s">
        <v>198</v>
      </c>
    </row>
    <row r="345" customFormat="false" ht="13.8" hidden="false" customHeight="false" outlineLevel="0" collapsed="false">
      <c r="A345" s="3" t="n">
        <v>344</v>
      </c>
      <c r="B345" s="3" t="s">
        <v>561</v>
      </c>
      <c r="C345" s="3" t="s">
        <v>105</v>
      </c>
      <c r="D345" s="3" t="s">
        <v>61</v>
      </c>
      <c r="E345" s="25" t="s">
        <v>482</v>
      </c>
      <c r="F345" s="3" t="s">
        <v>105</v>
      </c>
      <c r="G345" s="3" t="s">
        <v>61</v>
      </c>
      <c r="J345" s="13" t="n">
        <f aca="false">_xlfn.IFS(F345="","",M345=F345,1,M345&lt;&gt;F345,0)</f>
        <v>1</v>
      </c>
      <c r="K345" s="13" t="n">
        <f aca="false">_xlfn.IFS(G345="","",N345=G345,1,N345&lt;&gt;G345,0)</f>
        <v>1</v>
      </c>
      <c r="L345" s="3"/>
      <c r="M345" s="3" t="s">
        <v>105</v>
      </c>
      <c r="N345" s="3" t="s">
        <v>61</v>
      </c>
    </row>
    <row r="346" customFormat="false" ht="13.8" hidden="false" customHeight="false" outlineLevel="0" collapsed="false">
      <c r="A346" s="3" t="n">
        <v>345</v>
      </c>
      <c r="B346" s="3" t="s">
        <v>828</v>
      </c>
      <c r="C346" s="3" t="s">
        <v>105</v>
      </c>
      <c r="D346" s="3" t="s">
        <v>61</v>
      </c>
      <c r="E346" s="25" t="s">
        <v>482</v>
      </c>
      <c r="F346" s="3" t="s">
        <v>105</v>
      </c>
      <c r="G346" s="3" t="s">
        <v>61</v>
      </c>
      <c r="J346" s="13" t="n">
        <f aca="false">_xlfn.IFS(F346="","",M346=F346,1,M346&lt;&gt;F346,0)</f>
        <v>1</v>
      </c>
      <c r="K346" s="13" t="n">
        <f aca="false">_xlfn.IFS(G346="","",N346=G346,1,N346&lt;&gt;G346,0)</f>
        <v>1</v>
      </c>
      <c r="L346" s="3"/>
      <c r="M346" s="3" t="s">
        <v>105</v>
      </c>
      <c r="N346" s="3" t="s">
        <v>61</v>
      </c>
    </row>
    <row r="347" customFormat="false" ht="13.8" hidden="false" customHeight="false" outlineLevel="0" collapsed="false">
      <c r="A347" s="3" t="n">
        <v>346</v>
      </c>
      <c r="B347" s="3" t="s">
        <v>711</v>
      </c>
      <c r="C347" s="3" t="s">
        <v>105</v>
      </c>
      <c r="D347" s="3" t="s">
        <v>61</v>
      </c>
      <c r="E347" s="25" t="s">
        <v>896</v>
      </c>
      <c r="F347" s="3"/>
      <c r="G347" s="3"/>
      <c r="J347" s="13" t="str">
        <f aca="false">_xlfn.IFS(F347="","",M347=F347,1,M347&lt;&gt;F347,0)</f>
        <v/>
      </c>
      <c r="K347" s="13" t="str">
        <f aca="false">_xlfn.IFS(G347="","",N347=G347,1,N347&lt;&gt;G347,0)</f>
        <v/>
      </c>
      <c r="L347" s="3"/>
      <c r="M347" s="3" t="s">
        <v>105</v>
      </c>
      <c r="N347" s="3" t="s">
        <v>61</v>
      </c>
    </row>
    <row r="348" customFormat="false" ht="13.8" hidden="false" customHeight="false" outlineLevel="0" collapsed="false">
      <c r="A348" s="3" t="n">
        <v>347</v>
      </c>
      <c r="B348" s="3" t="s">
        <v>465</v>
      </c>
      <c r="C348" s="3" t="s">
        <v>105</v>
      </c>
      <c r="D348" s="3" t="s">
        <v>61</v>
      </c>
      <c r="E348" s="25" t="s">
        <v>891</v>
      </c>
      <c r="F348" s="3" t="s">
        <v>164</v>
      </c>
      <c r="G348" s="3" t="s">
        <v>154</v>
      </c>
      <c r="J348" s="13" t="n">
        <f aca="false">_xlfn.IFS(F348="","",M348=F348,1,M348&lt;&gt;F348,0)</f>
        <v>0</v>
      </c>
      <c r="K348" s="13" t="n">
        <f aca="false">_xlfn.IFS(G348="","",N348=G348,1,N348&lt;&gt;G348,0)</f>
        <v>0</v>
      </c>
      <c r="L348" s="3"/>
      <c r="M348" s="3" t="s">
        <v>105</v>
      </c>
      <c r="N348" s="3" t="s">
        <v>61</v>
      </c>
    </row>
    <row r="349" customFormat="false" ht="13.8" hidden="false" customHeight="false" outlineLevel="0" collapsed="false">
      <c r="A349" s="3" t="n">
        <v>348</v>
      </c>
      <c r="B349" s="3" t="s">
        <v>806</v>
      </c>
      <c r="C349" s="3" t="s">
        <v>105</v>
      </c>
      <c r="D349" s="3" t="s">
        <v>61</v>
      </c>
      <c r="E349" s="25" t="s">
        <v>891</v>
      </c>
      <c r="F349" s="3" t="s">
        <v>164</v>
      </c>
      <c r="G349" s="3" t="s">
        <v>63</v>
      </c>
      <c r="J349" s="13" t="n">
        <f aca="false">_xlfn.IFS(F349="","",M349=F349,1,M349&lt;&gt;F349,0)</f>
        <v>0</v>
      </c>
      <c r="K349" s="13" t="n">
        <f aca="false">_xlfn.IFS(G349="","",N349=G349,1,N349&lt;&gt;G349,0)</f>
        <v>0</v>
      </c>
      <c r="L349" s="3"/>
      <c r="M349" s="3" t="s">
        <v>105</v>
      </c>
      <c r="N349" s="3" t="s">
        <v>61</v>
      </c>
    </row>
    <row r="350" customFormat="false" ht="13.8" hidden="false" customHeight="false" outlineLevel="0" collapsed="false">
      <c r="A350" s="3" t="n">
        <v>349</v>
      </c>
      <c r="B350" s="3" t="s">
        <v>458</v>
      </c>
      <c r="C350" s="3" t="s">
        <v>143</v>
      </c>
      <c r="D350" s="3" t="s">
        <v>198</v>
      </c>
      <c r="E350" s="25" t="s">
        <v>482</v>
      </c>
      <c r="F350" s="3" t="s">
        <v>143</v>
      </c>
      <c r="G350" s="3" t="s">
        <v>160</v>
      </c>
      <c r="J350" s="13"/>
      <c r="K350" s="13"/>
      <c r="L350" s="3" t="s">
        <v>257</v>
      </c>
      <c r="M350" s="3" t="s">
        <v>143</v>
      </c>
      <c r="N350" s="3" t="s">
        <v>198</v>
      </c>
    </row>
    <row r="351" customFormat="false" ht="13.8" hidden="false" customHeight="false" outlineLevel="0" collapsed="false">
      <c r="A351" s="3" t="n">
        <v>350</v>
      </c>
      <c r="B351" s="3" t="s">
        <v>452</v>
      </c>
      <c r="C351" s="3" t="s">
        <v>105</v>
      </c>
      <c r="D351" s="3" t="s">
        <v>61</v>
      </c>
      <c r="E351" s="25" t="s">
        <v>891</v>
      </c>
      <c r="F351" s="3" t="s">
        <v>164</v>
      </c>
      <c r="G351" s="3" t="s">
        <v>154</v>
      </c>
      <c r="J351" s="13" t="n">
        <f aca="false">_xlfn.IFS(F351="","",M351=F351,1,M351&lt;&gt;F351,0)</f>
        <v>0</v>
      </c>
      <c r="K351" s="13" t="n">
        <f aca="false">_xlfn.IFS(G351="","",N351=G351,1,N351&lt;&gt;G351,0)</f>
        <v>0</v>
      </c>
      <c r="L351" s="3"/>
      <c r="M351" s="3" t="s">
        <v>105</v>
      </c>
      <c r="N351" s="3" t="s">
        <v>61</v>
      </c>
    </row>
    <row r="352" customFormat="false" ht="13.8" hidden="false" customHeight="false" outlineLevel="0" collapsed="false">
      <c r="A352" s="3" t="n">
        <v>351</v>
      </c>
      <c r="B352" s="3" t="s">
        <v>768</v>
      </c>
      <c r="C352" s="3" t="s">
        <v>143</v>
      </c>
      <c r="D352" s="3" t="s">
        <v>351</v>
      </c>
      <c r="E352" s="25" t="s">
        <v>896</v>
      </c>
      <c r="F352" s="3"/>
      <c r="G352" s="3"/>
      <c r="J352" s="13"/>
      <c r="K352" s="13"/>
      <c r="L352" s="3" t="s">
        <v>257</v>
      </c>
      <c r="M352" s="3" t="s">
        <v>143</v>
      </c>
      <c r="N352" s="3" t="s">
        <v>351</v>
      </c>
    </row>
    <row r="353" customFormat="false" ht="13.8" hidden="false" customHeight="false" outlineLevel="0" collapsed="false">
      <c r="A353" s="3" t="n">
        <v>352</v>
      </c>
      <c r="B353" s="3" t="s">
        <v>383</v>
      </c>
      <c r="C353" s="3" t="s">
        <v>143</v>
      </c>
      <c r="D353" s="3" t="s">
        <v>351</v>
      </c>
      <c r="E353" s="25" t="s">
        <v>482</v>
      </c>
      <c r="F353" s="3" t="s">
        <v>105</v>
      </c>
      <c r="G353" s="3" t="s">
        <v>61</v>
      </c>
      <c r="J353" s="13"/>
      <c r="K353" s="13"/>
      <c r="L353" s="3" t="s">
        <v>257</v>
      </c>
      <c r="M353" s="3" t="s">
        <v>143</v>
      </c>
      <c r="N353" s="3" t="s">
        <v>351</v>
      </c>
    </row>
    <row r="354" customFormat="false" ht="13.8" hidden="false" customHeight="false" outlineLevel="0" collapsed="false">
      <c r="A354" s="3" t="n">
        <v>353</v>
      </c>
      <c r="B354" s="3" t="s">
        <v>291</v>
      </c>
      <c r="C354" s="3" t="s">
        <v>105</v>
      </c>
      <c r="D354" s="3" t="s">
        <v>61</v>
      </c>
      <c r="E354" s="25" t="s">
        <v>891</v>
      </c>
      <c r="F354" s="3" t="s">
        <v>164</v>
      </c>
      <c r="G354" s="3" t="s">
        <v>154</v>
      </c>
      <c r="J354" s="13" t="n">
        <f aca="false">_xlfn.IFS(F354="","",M354=F354,1,M354&lt;&gt;F354,0)</f>
        <v>0</v>
      </c>
      <c r="K354" s="13" t="n">
        <f aca="false">_xlfn.IFS(G354="","",N354=G354,1,N354&lt;&gt;G354,0)</f>
        <v>0</v>
      </c>
      <c r="L354" s="3"/>
      <c r="M354" s="3" t="s">
        <v>105</v>
      </c>
      <c r="N354" s="3" t="s">
        <v>61</v>
      </c>
    </row>
    <row r="355" customFormat="false" ht="13.8" hidden="false" customHeight="false" outlineLevel="0" collapsed="false">
      <c r="A355" s="3" t="n">
        <v>354</v>
      </c>
      <c r="B355" s="3" t="s">
        <v>548</v>
      </c>
      <c r="C355" s="3" t="s">
        <v>105</v>
      </c>
      <c r="D355" s="3" t="s">
        <v>61</v>
      </c>
      <c r="E355" s="25" t="s">
        <v>891</v>
      </c>
      <c r="F355" s="3" t="s">
        <v>164</v>
      </c>
      <c r="G355" s="3" t="s">
        <v>884</v>
      </c>
      <c r="J355" s="13" t="n">
        <f aca="false">_xlfn.IFS(F355="","",M355=F355,1,M355&lt;&gt;F355,0)</f>
        <v>0</v>
      </c>
      <c r="K355" s="13" t="n">
        <f aca="false">_xlfn.IFS(G355="","",N355=G355,1,N355&lt;&gt;G355,0)</f>
        <v>0</v>
      </c>
      <c r="L355" s="3"/>
      <c r="M355" s="3" t="s">
        <v>105</v>
      </c>
      <c r="N355" s="3" t="s">
        <v>61</v>
      </c>
    </row>
    <row r="356" customFormat="false" ht="13.8" hidden="false" customHeight="false" outlineLevel="0" collapsed="false">
      <c r="A356" s="3" t="n">
        <v>355</v>
      </c>
      <c r="B356" s="3" t="s">
        <v>520</v>
      </c>
      <c r="C356" s="3" t="s">
        <v>105</v>
      </c>
      <c r="D356" s="3" t="s">
        <v>61</v>
      </c>
      <c r="E356" s="25" t="s">
        <v>896</v>
      </c>
      <c r="F356" s="3"/>
      <c r="G356" s="3"/>
      <c r="J356" s="13" t="str">
        <f aca="false">_xlfn.IFS(F356="","",M356=F356,1,M356&lt;&gt;F356,0)</f>
        <v/>
      </c>
      <c r="K356" s="13" t="str">
        <f aca="false">_xlfn.IFS(G356="","",N356=G356,1,N356&lt;&gt;G356,0)</f>
        <v/>
      </c>
      <c r="L356" s="3"/>
      <c r="M356" s="3" t="s">
        <v>105</v>
      </c>
      <c r="N356" s="3" t="s">
        <v>61</v>
      </c>
    </row>
    <row r="357" customFormat="false" ht="13.8" hidden="false" customHeight="false" outlineLevel="0" collapsed="false">
      <c r="A357" s="3" t="n">
        <v>356</v>
      </c>
      <c r="B357" s="3" t="s">
        <v>639</v>
      </c>
      <c r="C357" s="3" t="s">
        <v>105</v>
      </c>
      <c r="D357" s="3" t="s">
        <v>61</v>
      </c>
      <c r="E357" s="25" t="s">
        <v>482</v>
      </c>
      <c r="F357" s="3" t="s">
        <v>105</v>
      </c>
      <c r="G357" s="3" t="s">
        <v>61</v>
      </c>
      <c r="J357" s="13" t="n">
        <f aca="false">_xlfn.IFS(F357="","",M357=F357,1,M357&lt;&gt;F357,0)</f>
        <v>1</v>
      </c>
      <c r="K357" s="13" t="n">
        <f aca="false">_xlfn.IFS(G357="","",N357=G357,1,N357&lt;&gt;G357,0)</f>
        <v>1</v>
      </c>
      <c r="L357" s="3"/>
      <c r="M357" s="3" t="s">
        <v>105</v>
      </c>
      <c r="N357" s="3" t="s">
        <v>61</v>
      </c>
    </row>
    <row r="358" customFormat="false" ht="13.8" hidden="false" customHeight="false" outlineLevel="0" collapsed="false">
      <c r="A358" s="3" t="n">
        <v>357</v>
      </c>
      <c r="B358" s="3" t="s">
        <v>244</v>
      </c>
      <c r="C358" s="3" t="s">
        <v>150</v>
      </c>
      <c r="D358" s="3" t="s">
        <v>245</v>
      </c>
      <c r="E358" s="25" t="s">
        <v>891</v>
      </c>
      <c r="F358" s="3" t="s">
        <v>164</v>
      </c>
      <c r="G358" s="3" t="s">
        <v>63</v>
      </c>
      <c r="J358" s="13" t="n">
        <f aca="false">_xlfn.IFS(F358="","",M358=F358,1,M358&lt;&gt;F358,0)</f>
        <v>1</v>
      </c>
      <c r="K358" s="13" t="n">
        <f aca="false">_xlfn.IFS(G358="","",N358=G358,1,N358&lt;&gt;G358,0)</f>
        <v>0</v>
      </c>
      <c r="L358" s="3"/>
      <c r="M358" s="3" t="s">
        <v>164</v>
      </c>
      <c r="N358" s="3" t="s">
        <v>899</v>
      </c>
    </row>
    <row r="359" customFormat="false" ht="13.8" hidden="false" customHeight="false" outlineLevel="0" collapsed="false">
      <c r="A359" s="3" t="n">
        <v>358</v>
      </c>
      <c r="B359" s="3" t="s">
        <v>611</v>
      </c>
      <c r="C359" s="3" t="s">
        <v>105</v>
      </c>
      <c r="D359" s="3" t="s">
        <v>61</v>
      </c>
      <c r="E359" s="25" t="s">
        <v>896</v>
      </c>
      <c r="F359" s="3"/>
      <c r="G359" s="3"/>
      <c r="J359" s="13" t="str">
        <f aca="false">_xlfn.IFS(F359="","",M359=F359,1,M359&lt;&gt;F359,0)</f>
        <v/>
      </c>
      <c r="K359" s="13" t="str">
        <f aca="false">_xlfn.IFS(G359="","",N359=G359,1,N359&lt;&gt;G359,0)</f>
        <v/>
      </c>
      <c r="L359" s="3"/>
      <c r="M359" s="3" t="s">
        <v>105</v>
      </c>
      <c r="N359" s="3" t="s">
        <v>61</v>
      </c>
    </row>
    <row r="360" customFormat="false" ht="13.8" hidden="false" customHeight="false" outlineLevel="0" collapsed="false">
      <c r="A360" s="3" t="n">
        <v>359</v>
      </c>
      <c r="B360" s="3" t="s">
        <v>826</v>
      </c>
      <c r="C360" s="3" t="s">
        <v>143</v>
      </c>
      <c r="D360" s="3" t="s">
        <v>288</v>
      </c>
      <c r="E360" s="25" t="s">
        <v>482</v>
      </c>
      <c r="F360" s="3" t="s">
        <v>81</v>
      </c>
      <c r="G360" s="3"/>
      <c r="J360" s="13"/>
      <c r="K360" s="13"/>
      <c r="L360" s="3" t="s">
        <v>257</v>
      </c>
      <c r="M360" s="3" t="s">
        <v>143</v>
      </c>
      <c r="N360" s="3" t="s">
        <v>288</v>
      </c>
    </row>
    <row r="361" customFormat="false" ht="13.8" hidden="false" customHeight="false" outlineLevel="0" collapsed="false">
      <c r="A361" s="3" t="n">
        <v>360</v>
      </c>
      <c r="B361" s="3" t="s">
        <v>292</v>
      </c>
      <c r="C361" s="3" t="s">
        <v>105</v>
      </c>
      <c r="D361" s="3" t="s">
        <v>61</v>
      </c>
      <c r="E361" s="25" t="s">
        <v>896</v>
      </c>
      <c r="F361" s="3"/>
      <c r="G361" s="3"/>
      <c r="J361" s="13" t="str">
        <f aca="false">_xlfn.IFS(F361="","",M361=F361,1,M361&lt;&gt;F361,0)</f>
        <v/>
      </c>
      <c r="K361" s="13" t="str">
        <f aca="false">_xlfn.IFS(G361="","",N361=G361,1,N361&lt;&gt;G361,0)</f>
        <v/>
      </c>
      <c r="L361" s="3"/>
      <c r="M361" s="3" t="s">
        <v>105</v>
      </c>
      <c r="N361" s="3" t="s">
        <v>61</v>
      </c>
    </row>
    <row r="362" customFormat="false" ht="13.8" hidden="false" customHeight="false" outlineLevel="0" collapsed="false">
      <c r="A362" s="3" t="n">
        <v>361</v>
      </c>
      <c r="B362" s="3" t="s">
        <v>696</v>
      </c>
      <c r="C362" s="3" t="s">
        <v>143</v>
      </c>
      <c r="D362" s="3" t="s">
        <v>288</v>
      </c>
      <c r="E362" s="25" t="s">
        <v>482</v>
      </c>
      <c r="F362" s="3" t="s">
        <v>81</v>
      </c>
      <c r="G362" s="3"/>
      <c r="J362" s="13"/>
      <c r="K362" s="13"/>
      <c r="L362" s="3" t="s">
        <v>257</v>
      </c>
      <c r="M362" s="3" t="s">
        <v>143</v>
      </c>
      <c r="N362" s="3" t="s">
        <v>288</v>
      </c>
    </row>
    <row r="363" customFormat="false" ht="13.8" hidden="false" customHeight="false" outlineLevel="0" collapsed="false">
      <c r="A363" s="3" t="n">
        <v>362</v>
      </c>
      <c r="B363" s="3" t="s">
        <v>777</v>
      </c>
      <c r="C363" s="3" t="s">
        <v>105</v>
      </c>
      <c r="D363" s="3" t="s">
        <v>61</v>
      </c>
      <c r="E363" s="25" t="s">
        <v>896</v>
      </c>
      <c r="F363" s="3"/>
      <c r="G363" s="3"/>
      <c r="J363" s="13" t="str">
        <f aca="false">_xlfn.IFS(F363="","",M363=F363,1,M363&lt;&gt;F363,0)</f>
        <v/>
      </c>
      <c r="K363" s="13" t="str">
        <f aca="false">_xlfn.IFS(G363="","",N363=G363,1,N363&lt;&gt;G363,0)</f>
        <v/>
      </c>
      <c r="L363" s="3"/>
      <c r="M363" s="3" t="s">
        <v>105</v>
      </c>
      <c r="N363" s="3" t="s">
        <v>61</v>
      </c>
    </row>
    <row r="364" customFormat="false" ht="13.8" hidden="false" customHeight="false" outlineLevel="0" collapsed="false">
      <c r="A364" s="3" t="n">
        <v>363</v>
      </c>
      <c r="B364" s="3" t="s">
        <v>701</v>
      </c>
      <c r="C364" s="3" t="s">
        <v>105</v>
      </c>
      <c r="D364" s="3" t="s">
        <v>61</v>
      </c>
      <c r="E364" s="25" t="s">
        <v>891</v>
      </c>
      <c r="F364" s="3" t="s">
        <v>164</v>
      </c>
      <c r="G364" s="3" t="s">
        <v>154</v>
      </c>
      <c r="J364" s="13" t="n">
        <f aca="false">_xlfn.IFS(F364="","",M364=F364,1,M364&lt;&gt;F364,0)</f>
        <v>0</v>
      </c>
      <c r="K364" s="13" t="n">
        <f aca="false">_xlfn.IFS(G364="","",N364=G364,1,N364&lt;&gt;G364,0)</f>
        <v>0</v>
      </c>
      <c r="L364" s="3"/>
      <c r="M364" s="3" t="s">
        <v>105</v>
      </c>
      <c r="N364" s="3" t="s">
        <v>61</v>
      </c>
    </row>
    <row r="365" customFormat="false" ht="13.8" hidden="false" customHeight="false" outlineLevel="0" collapsed="false">
      <c r="A365" s="3" t="n">
        <v>364</v>
      </c>
      <c r="B365" s="3" t="s">
        <v>723</v>
      </c>
      <c r="C365" s="3" t="s">
        <v>105</v>
      </c>
      <c r="D365" s="3" t="s">
        <v>61</v>
      </c>
      <c r="E365" s="25" t="s">
        <v>482</v>
      </c>
      <c r="F365" s="3" t="s">
        <v>105</v>
      </c>
      <c r="G365" s="3" t="s">
        <v>61</v>
      </c>
      <c r="J365" s="13" t="n">
        <f aca="false">_xlfn.IFS(F365="","",M365=F365,1,M365&lt;&gt;F365,0)</f>
        <v>1</v>
      </c>
      <c r="K365" s="13" t="n">
        <f aca="false">_xlfn.IFS(G365="","",N365=G365,1,N365&lt;&gt;G365,0)</f>
        <v>1</v>
      </c>
      <c r="L365" s="3"/>
      <c r="M365" s="3" t="s">
        <v>105</v>
      </c>
      <c r="N365" s="3" t="s">
        <v>61</v>
      </c>
    </row>
    <row r="366" customFormat="false" ht="13.8" hidden="false" customHeight="false" outlineLevel="0" collapsed="false">
      <c r="A366" s="3" t="n">
        <v>365</v>
      </c>
      <c r="B366" s="3" t="s">
        <v>320</v>
      </c>
      <c r="C366" s="3" t="s">
        <v>143</v>
      </c>
      <c r="D366" s="3" t="s">
        <v>256</v>
      </c>
      <c r="E366" s="25" t="s">
        <v>896</v>
      </c>
      <c r="F366" s="3"/>
      <c r="G366" s="3"/>
      <c r="J366" s="13"/>
      <c r="K366" s="13"/>
      <c r="L366" s="3" t="s">
        <v>257</v>
      </c>
      <c r="M366" s="3" t="s">
        <v>143</v>
      </c>
      <c r="N366" s="3" t="s">
        <v>256</v>
      </c>
    </row>
    <row r="367" customFormat="false" ht="13.8" hidden="false" customHeight="false" outlineLevel="0" collapsed="false">
      <c r="A367" s="3" t="n">
        <v>366</v>
      </c>
      <c r="B367" s="3" t="s">
        <v>376</v>
      </c>
      <c r="C367" s="3" t="s">
        <v>143</v>
      </c>
      <c r="D367" s="3" t="s">
        <v>256</v>
      </c>
      <c r="E367" s="25" t="s">
        <v>891</v>
      </c>
      <c r="F367" s="3" t="s">
        <v>164</v>
      </c>
      <c r="G367" s="3" t="s">
        <v>154</v>
      </c>
      <c r="J367" s="13"/>
      <c r="K367" s="13"/>
      <c r="L367" s="3" t="s">
        <v>257</v>
      </c>
      <c r="M367" s="3" t="s">
        <v>143</v>
      </c>
      <c r="N367" s="3" t="s">
        <v>256</v>
      </c>
    </row>
    <row r="368" customFormat="false" ht="13.8" hidden="false" customHeight="false" outlineLevel="0" collapsed="false">
      <c r="A368" s="3" t="n">
        <v>367</v>
      </c>
      <c r="B368" s="3" t="s">
        <v>860</v>
      </c>
      <c r="C368" s="3" t="s">
        <v>105</v>
      </c>
      <c r="D368" s="3" t="s">
        <v>61</v>
      </c>
      <c r="E368" s="25" t="s">
        <v>891</v>
      </c>
      <c r="F368" s="3" t="s">
        <v>164</v>
      </c>
      <c r="G368" s="3" t="s">
        <v>884</v>
      </c>
      <c r="J368" s="13" t="n">
        <f aca="false">_xlfn.IFS(F368="","",M368=F368,1,M368&lt;&gt;F368,0)</f>
        <v>0</v>
      </c>
      <c r="K368" s="13" t="n">
        <f aca="false">_xlfn.IFS(G368="","",N368=G368,1,N368&lt;&gt;G368,0)</f>
        <v>0</v>
      </c>
      <c r="L368" s="3"/>
      <c r="M368" s="3" t="s">
        <v>105</v>
      </c>
      <c r="N368" s="3" t="s">
        <v>61</v>
      </c>
    </row>
    <row r="369" customFormat="false" ht="13.8" hidden="false" customHeight="false" outlineLevel="0" collapsed="false">
      <c r="A369" s="3" t="n">
        <v>368</v>
      </c>
      <c r="B369" s="3" t="s">
        <v>549</v>
      </c>
      <c r="C369" s="3" t="s">
        <v>105</v>
      </c>
      <c r="D369" s="3" t="s">
        <v>61</v>
      </c>
      <c r="E369" s="25" t="s">
        <v>482</v>
      </c>
      <c r="F369" s="3" t="s">
        <v>105</v>
      </c>
      <c r="G369" s="3" t="s">
        <v>894</v>
      </c>
      <c r="J369" s="13" t="n">
        <f aca="false">_xlfn.IFS(F369="","",M369=F369,1,M369&lt;&gt;F369,0)</f>
        <v>1</v>
      </c>
      <c r="K369" s="13" t="n">
        <f aca="false">_xlfn.IFS(G369="","",N369=G369,1,N369&lt;&gt;G369,0)</f>
        <v>0</v>
      </c>
      <c r="L369" s="3"/>
      <c r="M369" s="3" t="s">
        <v>105</v>
      </c>
      <c r="N369" s="3" t="s">
        <v>61</v>
      </c>
    </row>
    <row r="370" customFormat="false" ht="13.8" hidden="false" customHeight="false" outlineLevel="0" collapsed="false">
      <c r="A370" s="3" t="n">
        <v>369</v>
      </c>
      <c r="B370" s="3" t="s">
        <v>688</v>
      </c>
      <c r="C370" s="3" t="s">
        <v>105</v>
      </c>
      <c r="D370" s="3" t="s">
        <v>61</v>
      </c>
      <c r="E370" s="25" t="s">
        <v>482</v>
      </c>
      <c r="F370" s="3" t="s">
        <v>105</v>
      </c>
      <c r="G370" s="3" t="s">
        <v>894</v>
      </c>
      <c r="J370" s="13" t="n">
        <f aca="false">_xlfn.IFS(F370="","",M370=F370,1,M370&lt;&gt;F370,0)</f>
        <v>1</v>
      </c>
      <c r="K370" s="13" t="n">
        <f aca="false">_xlfn.IFS(G370="","",N370=G370,1,N370&lt;&gt;G370,0)</f>
        <v>0</v>
      </c>
      <c r="L370" s="3"/>
      <c r="M370" s="3" t="s">
        <v>105</v>
      </c>
      <c r="N370" s="3" t="s">
        <v>61</v>
      </c>
    </row>
    <row r="371" customFormat="false" ht="13.8" hidden="false" customHeight="false" outlineLevel="0" collapsed="false">
      <c r="A371" s="3" t="n">
        <v>370</v>
      </c>
      <c r="B371" s="3" t="s">
        <v>593</v>
      </c>
      <c r="C371" s="3" t="s">
        <v>143</v>
      </c>
      <c r="D371" s="3" t="s">
        <v>198</v>
      </c>
      <c r="E371" s="25" t="s">
        <v>482</v>
      </c>
      <c r="F371" s="3" t="s">
        <v>105</v>
      </c>
      <c r="G371" s="3" t="s">
        <v>894</v>
      </c>
      <c r="J371" s="13"/>
      <c r="K371" s="13"/>
      <c r="L371" s="3" t="s">
        <v>257</v>
      </c>
      <c r="M371" s="3" t="s">
        <v>143</v>
      </c>
      <c r="N371" s="3" t="s">
        <v>198</v>
      </c>
    </row>
    <row r="372" customFormat="false" ht="13.8" hidden="false" customHeight="false" outlineLevel="0" collapsed="false">
      <c r="A372" s="3" t="n">
        <v>371</v>
      </c>
      <c r="B372" s="3" t="s">
        <v>834</v>
      </c>
      <c r="C372" s="3" t="s">
        <v>105</v>
      </c>
      <c r="D372" s="3" t="s">
        <v>61</v>
      </c>
      <c r="E372" s="25" t="s">
        <v>482</v>
      </c>
      <c r="F372" s="3" t="s">
        <v>105</v>
      </c>
      <c r="G372" s="3" t="s">
        <v>894</v>
      </c>
      <c r="J372" s="13" t="n">
        <f aca="false">_xlfn.IFS(F372="","",M372=F372,1,M372&lt;&gt;F372,0)</f>
        <v>1</v>
      </c>
      <c r="K372" s="13" t="n">
        <f aca="false">_xlfn.IFS(G372="","",N372=G372,1,N372&lt;&gt;G372,0)</f>
        <v>0</v>
      </c>
      <c r="L372" s="3"/>
      <c r="M372" s="3" t="s">
        <v>105</v>
      </c>
      <c r="N372" s="3" t="s">
        <v>61</v>
      </c>
    </row>
    <row r="373" customFormat="false" ht="13.8" hidden="false" customHeight="false" outlineLevel="0" collapsed="false">
      <c r="A373" s="3" t="n">
        <v>372</v>
      </c>
      <c r="B373" s="3" t="s">
        <v>704</v>
      </c>
      <c r="C373" s="3" t="s">
        <v>105</v>
      </c>
      <c r="D373" s="3" t="s">
        <v>61</v>
      </c>
      <c r="E373" s="25" t="s">
        <v>891</v>
      </c>
      <c r="F373" s="3" t="s">
        <v>164</v>
      </c>
      <c r="G373" s="3" t="s">
        <v>63</v>
      </c>
      <c r="J373" s="13" t="n">
        <f aca="false">_xlfn.IFS(F373="","",M373=F373,1,M373&lt;&gt;F373,0)</f>
        <v>0</v>
      </c>
      <c r="K373" s="13" t="n">
        <f aca="false">_xlfn.IFS(G373="","",N373=G373,1,N373&lt;&gt;G373,0)</f>
        <v>0</v>
      </c>
      <c r="L373" s="3"/>
      <c r="M373" s="3" t="s">
        <v>105</v>
      </c>
      <c r="N373" s="3" t="s">
        <v>61</v>
      </c>
    </row>
    <row r="374" customFormat="false" ht="13.8" hidden="false" customHeight="false" outlineLevel="0" collapsed="false">
      <c r="A374" s="3" t="n">
        <v>373</v>
      </c>
      <c r="B374" s="3" t="s">
        <v>753</v>
      </c>
      <c r="C374" s="3" t="s">
        <v>105</v>
      </c>
      <c r="D374" s="3" t="s">
        <v>61</v>
      </c>
      <c r="E374" s="25" t="s">
        <v>891</v>
      </c>
      <c r="F374" s="3" t="s">
        <v>164</v>
      </c>
      <c r="G374" s="3" t="s">
        <v>154</v>
      </c>
      <c r="J374" s="13" t="n">
        <f aca="false">_xlfn.IFS(F374="","",M374=F374,1,M374&lt;&gt;F374,0)</f>
        <v>0</v>
      </c>
      <c r="K374" s="13" t="n">
        <f aca="false">_xlfn.IFS(G374="","",N374=G374,1,N374&lt;&gt;G374,0)</f>
        <v>0</v>
      </c>
      <c r="L374" s="3"/>
      <c r="M374" s="3" t="s">
        <v>105</v>
      </c>
      <c r="N374" s="3" t="s">
        <v>61</v>
      </c>
    </row>
    <row r="375" customFormat="false" ht="13.8" hidden="false" customHeight="false" outlineLevel="0" collapsed="false">
      <c r="A375" s="3" t="n">
        <v>374</v>
      </c>
      <c r="B375" s="3" t="s">
        <v>850</v>
      </c>
      <c r="C375" s="3" t="s">
        <v>105</v>
      </c>
      <c r="D375" s="3" t="s">
        <v>61</v>
      </c>
      <c r="E375" s="25" t="s">
        <v>891</v>
      </c>
      <c r="F375" s="3" t="s">
        <v>164</v>
      </c>
      <c r="G375" s="3" t="s">
        <v>899</v>
      </c>
      <c r="J375" s="13" t="n">
        <f aca="false">_xlfn.IFS(F375="","",M375=F375,1,M375&lt;&gt;F375,0)</f>
        <v>0</v>
      </c>
      <c r="K375" s="13" t="n">
        <f aca="false">_xlfn.IFS(G375="","",N375=G375,1,N375&lt;&gt;G375,0)</f>
        <v>0</v>
      </c>
      <c r="L375" s="3"/>
      <c r="M375" s="3" t="s">
        <v>105</v>
      </c>
      <c r="N375" s="3" t="s">
        <v>61</v>
      </c>
    </row>
    <row r="376" customFormat="false" ht="13.8" hidden="false" customHeight="false" outlineLevel="0" collapsed="false">
      <c r="A376" s="3" t="n">
        <v>375</v>
      </c>
      <c r="B376" s="3" t="s">
        <v>479</v>
      </c>
      <c r="C376" s="3" t="s">
        <v>143</v>
      </c>
      <c r="D376" s="3" t="s">
        <v>288</v>
      </c>
      <c r="E376" s="25" t="s">
        <v>891</v>
      </c>
      <c r="F376" s="3" t="s">
        <v>164</v>
      </c>
      <c r="G376" s="3" t="s">
        <v>154</v>
      </c>
      <c r="J376" s="13"/>
      <c r="K376" s="13"/>
      <c r="L376" s="3" t="s">
        <v>257</v>
      </c>
      <c r="M376" s="3" t="s">
        <v>143</v>
      </c>
      <c r="N376" s="3" t="s">
        <v>288</v>
      </c>
    </row>
    <row r="377" customFormat="false" ht="13.8" hidden="false" customHeight="false" outlineLevel="0" collapsed="false">
      <c r="A377" s="3" t="n">
        <v>376</v>
      </c>
      <c r="B377" s="3" t="s">
        <v>615</v>
      </c>
      <c r="C377" s="3" t="s">
        <v>143</v>
      </c>
      <c r="D377" s="3" t="s">
        <v>616</v>
      </c>
      <c r="E377" s="25" t="s">
        <v>896</v>
      </c>
      <c r="F377" s="3"/>
      <c r="G377" s="3"/>
      <c r="J377" s="13"/>
      <c r="K377" s="13"/>
      <c r="L377" s="3" t="s">
        <v>257</v>
      </c>
      <c r="M377" s="3" t="s">
        <v>143</v>
      </c>
      <c r="N377" s="3" t="s">
        <v>616</v>
      </c>
    </row>
    <row r="378" customFormat="false" ht="13.8" hidden="false" customHeight="false" outlineLevel="0" collapsed="false">
      <c r="A378" s="3" t="n">
        <v>377</v>
      </c>
      <c r="B378" s="3" t="s">
        <v>748</v>
      </c>
      <c r="C378" s="3" t="s">
        <v>105</v>
      </c>
      <c r="D378" s="3" t="s">
        <v>61</v>
      </c>
      <c r="E378" s="25" t="s">
        <v>482</v>
      </c>
      <c r="F378" s="3" t="s">
        <v>81</v>
      </c>
      <c r="G378" s="3"/>
      <c r="J378" s="13" t="n">
        <f aca="false">_xlfn.IFS(F378="","",M378=F378,1,M378&lt;&gt;F378,0)</f>
        <v>0</v>
      </c>
      <c r="K378" s="13" t="str">
        <f aca="false">_xlfn.IFS(G378="","",N378=G378,1,N378&lt;&gt;G378,0)</f>
        <v/>
      </c>
      <c r="L378" s="3"/>
      <c r="M378" s="3" t="s">
        <v>105</v>
      </c>
      <c r="N378" s="3" t="s">
        <v>61</v>
      </c>
    </row>
    <row r="379" customFormat="false" ht="13.8" hidden="false" customHeight="false" outlineLevel="0" collapsed="false">
      <c r="A379" s="3" t="n">
        <v>378</v>
      </c>
      <c r="B379" s="3" t="s">
        <v>728</v>
      </c>
      <c r="C379" s="3" t="s">
        <v>105</v>
      </c>
      <c r="D379" s="3" t="s">
        <v>55</v>
      </c>
      <c r="E379" s="25" t="s">
        <v>896</v>
      </c>
      <c r="F379" s="3"/>
      <c r="G379" s="3"/>
      <c r="J379" s="13" t="str">
        <f aca="false">_xlfn.IFS(F379="","",M379=F379,1,M379&lt;&gt;F379,0)</f>
        <v/>
      </c>
      <c r="K379" s="13" t="str">
        <f aca="false">_xlfn.IFS(G379="","",N379=G379,1,N379&lt;&gt;G379,0)</f>
        <v/>
      </c>
      <c r="L379" s="3"/>
      <c r="M379" s="3" t="s">
        <v>105</v>
      </c>
      <c r="N379" s="3" t="s">
        <v>55</v>
      </c>
    </row>
    <row r="380" customFormat="false" ht="13.8" hidden="false" customHeight="false" outlineLevel="0" collapsed="false">
      <c r="A380" s="3" t="n">
        <v>379</v>
      </c>
      <c r="B380" s="3" t="s">
        <v>719</v>
      </c>
      <c r="C380" s="3" t="s">
        <v>143</v>
      </c>
      <c r="D380" s="3" t="s">
        <v>351</v>
      </c>
      <c r="E380" s="25" t="s">
        <v>482</v>
      </c>
      <c r="F380" s="3" t="s">
        <v>105</v>
      </c>
      <c r="G380" s="3" t="s">
        <v>61</v>
      </c>
      <c r="J380" s="13"/>
      <c r="K380" s="13"/>
      <c r="L380" s="3" t="s">
        <v>257</v>
      </c>
      <c r="M380" s="3" t="s">
        <v>143</v>
      </c>
      <c r="N380" s="3" t="s">
        <v>351</v>
      </c>
    </row>
    <row r="381" customFormat="false" ht="13.8" hidden="false" customHeight="false" outlineLevel="0" collapsed="false">
      <c r="A381" s="3" t="n">
        <v>380</v>
      </c>
      <c r="B381" s="3" t="s">
        <v>683</v>
      </c>
      <c r="C381" s="3" t="s">
        <v>105</v>
      </c>
      <c r="D381" s="3" t="s">
        <v>61</v>
      </c>
      <c r="E381" s="25" t="s">
        <v>896</v>
      </c>
      <c r="F381" s="3"/>
      <c r="G381" s="3"/>
      <c r="J381" s="13" t="str">
        <f aca="false">_xlfn.IFS(F381="","",M381=F381,1,M381&lt;&gt;F381,0)</f>
        <v/>
      </c>
      <c r="K381" s="13" t="str">
        <f aca="false">_xlfn.IFS(G381="","",N381=G381,1,N381&lt;&gt;G381,0)</f>
        <v/>
      </c>
      <c r="L381" s="3"/>
      <c r="M381" s="3" t="s">
        <v>105</v>
      </c>
      <c r="N381" s="3" t="s">
        <v>61</v>
      </c>
    </row>
    <row r="382" customFormat="false" ht="13.8" hidden="false" customHeight="false" outlineLevel="0" collapsed="false">
      <c r="A382" s="3" t="n">
        <v>381</v>
      </c>
      <c r="B382" s="3" t="s">
        <v>559</v>
      </c>
      <c r="C382" s="3" t="s">
        <v>143</v>
      </c>
      <c r="D382" s="3" t="s">
        <v>288</v>
      </c>
      <c r="E382" s="25" t="s">
        <v>891</v>
      </c>
      <c r="F382" s="3" t="s">
        <v>164</v>
      </c>
      <c r="G382" s="3" t="s">
        <v>63</v>
      </c>
      <c r="J382" s="13"/>
      <c r="K382" s="13"/>
      <c r="L382" s="3" t="s">
        <v>257</v>
      </c>
      <c r="M382" s="3" t="s">
        <v>143</v>
      </c>
      <c r="N382" s="3" t="s">
        <v>288</v>
      </c>
    </row>
    <row r="383" customFormat="false" ht="13.8" hidden="false" customHeight="false" outlineLevel="0" collapsed="false">
      <c r="A383" s="3" t="n">
        <v>382</v>
      </c>
      <c r="B383" s="3" t="s">
        <v>384</v>
      </c>
      <c r="C383" s="3" t="s">
        <v>150</v>
      </c>
      <c r="D383" s="3" t="s">
        <v>245</v>
      </c>
      <c r="E383" s="25" t="s">
        <v>482</v>
      </c>
      <c r="F383" s="3" t="s">
        <v>143</v>
      </c>
      <c r="G383" s="3" t="s">
        <v>160</v>
      </c>
      <c r="J383" s="13" t="n">
        <f aca="false">_xlfn.IFS(F383="","",M383=F383,1,M383&lt;&gt;F383,0)</f>
        <v>0</v>
      </c>
      <c r="K383" s="13" t="n">
        <f aca="false">_xlfn.IFS(G383="","",N383=G383,1,N383&lt;&gt;G383,0)</f>
        <v>0</v>
      </c>
      <c r="L383" s="3"/>
      <c r="M383" s="3" t="s">
        <v>164</v>
      </c>
      <c r="N383" s="3" t="s">
        <v>899</v>
      </c>
    </row>
    <row r="384" customFormat="false" ht="13.8" hidden="false" customHeight="false" outlineLevel="0" collapsed="false">
      <c r="A384" s="3" t="n">
        <v>383</v>
      </c>
      <c r="B384" s="3" t="s">
        <v>791</v>
      </c>
      <c r="C384" s="3" t="s">
        <v>105</v>
      </c>
      <c r="D384" s="3" t="s">
        <v>55</v>
      </c>
      <c r="E384" s="25" t="s">
        <v>482</v>
      </c>
      <c r="F384" s="3" t="s">
        <v>105</v>
      </c>
      <c r="G384" s="3" t="s">
        <v>894</v>
      </c>
      <c r="J384" s="13" t="n">
        <f aca="false">_xlfn.IFS(F384="","",M384=F384,1,M384&lt;&gt;F384,0)</f>
        <v>1</v>
      </c>
      <c r="K384" s="13" t="n">
        <f aca="false">_xlfn.IFS(G384="","",N384=G384,1,N384&lt;&gt;G384,0)</f>
        <v>0</v>
      </c>
      <c r="L384" s="3"/>
      <c r="M384" s="3" t="s">
        <v>105</v>
      </c>
      <c r="N384" s="3" t="s">
        <v>55</v>
      </c>
    </row>
    <row r="385" customFormat="false" ht="13.8" hidden="false" customHeight="false" outlineLevel="0" collapsed="false">
      <c r="A385" s="3" t="n">
        <v>384</v>
      </c>
      <c r="B385" s="3" t="s">
        <v>774</v>
      </c>
      <c r="C385" s="3" t="s">
        <v>105</v>
      </c>
      <c r="D385" s="3" t="s">
        <v>77</v>
      </c>
      <c r="E385" s="25" t="s">
        <v>896</v>
      </c>
      <c r="F385" s="3"/>
      <c r="G385" s="3"/>
      <c r="J385" s="13" t="str">
        <f aca="false">_xlfn.IFS(F385="","",M385=F385,1,M385&lt;&gt;F385,0)</f>
        <v/>
      </c>
      <c r="K385" s="13" t="str">
        <f aca="false">_xlfn.IFS(G385="","",N385=G385,1,N385&lt;&gt;G385,0)</f>
        <v/>
      </c>
      <c r="L385" s="3"/>
      <c r="M385" s="3" t="s">
        <v>105</v>
      </c>
      <c r="N385" s="3" t="s">
        <v>894</v>
      </c>
    </row>
    <row r="386" customFormat="false" ht="13.8" hidden="false" customHeight="false" outlineLevel="0" collapsed="false">
      <c r="A386" s="3" t="n">
        <v>385</v>
      </c>
      <c r="B386" s="3" t="s">
        <v>529</v>
      </c>
      <c r="C386" s="3" t="s">
        <v>105</v>
      </c>
      <c r="D386" s="3" t="s">
        <v>61</v>
      </c>
      <c r="E386" s="25" t="s">
        <v>482</v>
      </c>
      <c r="F386" s="3" t="s">
        <v>105</v>
      </c>
      <c r="G386" s="3" t="s">
        <v>894</v>
      </c>
      <c r="J386" s="13" t="n">
        <f aca="false">_xlfn.IFS(F386="","",M386=F386,1,M386&lt;&gt;F386,0)</f>
        <v>1</v>
      </c>
      <c r="K386" s="13" t="n">
        <f aca="false">_xlfn.IFS(G386="","",N386=G386,1,N386&lt;&gt;G386,0)</f>
        <v>0</v>
      </c>
      <c r="L386" s="3"/>
      <c r="M386" s="3" t="s">
        <v>105</v>
      </c>
      <c r="N386" s="3" t="s">
        <v>61</v>
      </c>
    </row>
    <row r="387" customFormat="false" ht="13.8" hidden="false" customHeight="false" outlineLevel="0" collapsed="false">
      <c r="A387" s="3" t="n">
        <v>386</v>
      </c>
      <c r="B387" s="3" t="s">
        <v>620</v>
      </c>
      <c r="C387" s="3" t="s">
        <v>105</v>
      </c>
      <c r="D387" s="3" t="s">
        <v>61</v>
      </c>
      <c r="E387" s="25" t="s">
        <v>891</v>
      </c>
      <c r="F387" s="3" t="s">
        <v>164</v>
      </c>
      <c r="G387" s="3" t="s">
        <v>63</v>
      </c>
      <c r="J387" s="13" t="n">
        <f aca="false">_xlfn.IFS(F387="","",M387=F387,1,M387&lt;&gt;F387,0)</f>
        <v>0</v>
      </c>
      <c r="K387" s="13" t="n">
        <f aca="false">_xlfn.IFS(G387="","",N387=G387,1,N387&lt;&gt;G387,0)</f>
        <v>0</v>
      </c>
      <c r="L387" s="3"/>
      <c r="M387" s="3" t="s">
        <v>105</v>
      </c>
      <c r="N387" s="3" t="s">
        <v>61</v>
      </c>
    </row>
    <row r="388" customFormat="false" ht="13.8" hidden="false" customHeight="false" outlineLevel="0" collapsed="false">
      <c r="A388" s="3" t="n">
        <v>387</v>
      </c>
      <c r="B388" s="3" t="s">
        <v>707</v>
      </c>
      <c r="C388" s="3" t="s">
        <v>105</v>
      </c>
      <c r="D388" s="3" t="s">
        <v>61</v>
      </c>
      <c r="E388" s="25" t="s">
        <v>482</v>
      </c>
      <c r="F388" s="3" t="s">
        <v>105</v>
      </c>
      <c r="G388" s="3" t="s">
        <v>61</v>
      </c>
      <c r="J388" s="13" t="n">
        <f aca="false">_xlfn.IFS(F388="","",M388=F388,1,M388&lt;&gt;F388,0)</f>
        <v>1</v>
      </c>
      <c r="K388" s="13" t="n">
        <f aca="false">_xlfn.IFS(G388="","",N388=G388,1,N388&lt;&gt;G388,0)</f>
        <v>1</v>
      </c>
      <c r="L388" s="3"/>
      <c r="M388" s="3" t="s">
        <v>105</v>
      </c>
      <c r="N388" s="3" t="s">
        <v>61</v>
      </c>
    </row>
    <row r="389" customFormat="false" ht="13.8" hidden="false" customHeight="false" outlineLevel="0" collapsed="false">
      <c r="A389" s="3" t="n">
        <v>388</v>
      </c>
      <c r="B389" s="3" t="s">
        <v>148</v>
      </c>
      <c r="C389" s="3" t="s">
        <v>105</v>
      </c>
      <c r="D389" s="3" t="s">
        <v>61</v>
      </c>
      <c r="E389" s="25" t="s">
        <v>896</v>
      </c>
      <c r="F389" s="3"/>
      <c r="G389" s="3"/>
      <c r="J389" s="13" t="str">
        <f aca="false">_xlfn.IFS(F389="","",M389=F389,1,M389&lt;&gt;F389,0)</f>
        <v/>
      </c>
      <c r="K389" s="13" t="str">
        <f aca="false">_xlfn.IFS(G389="","",N389=G389,1,N389&lt;&gt;G389,0)</f>
        <v/>
      </c>
      <c r="L389" s="3"/>
      <c r="M389" s="3" t="s">
        <v>105</v>
      </c>
      <c r="N389" s="3" t="s">
        <v>61</v>
      </c>
    </row>
    <row r="390" customFormat="false" ht="13.8" hidden="false" customHeight="false" outlineLevel="0" collapsed="false">
      <c r="A390" s="3" t="n">
        <v>389</v>
      </c>
      <c r="B390" s="3" t="s">
        <v>413</v>
      </c>
      <c r="C390" s="3" t="s">
        <v>150</v>
      </c>
      <c r="D390" s="3" t="s">
        <v>245</v>
      </c>
      <c r="E390" s="25" t="s">
        <v>482</v>
      </c>
      <c r="F390" s="3" t="s">
        <v>81</v>
      </c>
      <c r="G390" s="3"/>
      <c r="J390" s="13" t="n">
        <f aca="false">_xlfn.IFS(F390="","",M390=F390,1,M390&lt;&gt;F390,0)</f>
        <v>0</v>
      </c>
      <c r="K390" s="13" t="str">
        <f aca="false">_xlfn.IFS(G390="","",N390=G390,1,N390&lt;&gt;G390,0)</f>
        <v/>
      </c>
      <c r="L390" s="3"/>
      <c r="M390" s="3" t="s">
        <v>164</v>
      </c>
      <c r="N390" s="3" t="s">
        <v>899</v>
      </c>
    </row>
    <row r="391" customFormat="false" ht="13.8" hidden="false" customHeight="false" outlineLevel="0" collapsed="false">
      <c r="A391" s="3" t="n">
        <v>390</v>
      </c>
      <c r="B391" s="3" t="s">
        <v>505</v>
      </c>
      <c r="C391" s="3" t="s">
        <v>105</v>
      </c>
      <c r="D391" s="3" t="s">
        <v>61</v>
      </c>
      <c r="E391" s="25" t="s">
        <v>482</v>
      </c>
      <c r="F391" s="3" t="s">
        <v>105</v>
      </c>
      <c r="G391" s="3" t="s">
        <v>61</v>
      </c>
      <c r="J391" s="13" t="n">
        <f aca="false">_xlfn.IFS(F391="","",M391=F391,1,M391&lt;&gt;F391,0)</f>
        <v>1</v>
      </c>
      <c r="K391" s="13" t="n">
        <f aca="false">_xlfn.IFS(G391="","",N391=G391,1,N391&lt;&gt;G391,0)</f>
        <v>1</v>
      </c>
      <c r="L391" s="3"/>
      <c r="M391" s="3" t="s">
        <v>105</v>
      </c>
      <c r="N391" s="3" t="s">
        <v>61</v>
      </c>
    </row>
    <row r="392" customFormat="false" ht="13.8" hidden="false" customHeight="false" outlineLevel="0" collapsed="false">
      <c r="A392" s="3" t="n">
        <v>391</v>
      </c>
      <c r="B392" s="3" t="s">
        <v>350</v>
      </c>
      <c r="C392" s="3" t="s">
        <v>143</v>
      </c>
      <c r="D392" s="3" t="s">
        <v>351</v>
      </c>
      <c r="E392" s="25" t="s">
        <v>482</v>
      </c>
      <c r="F392" s="3" t="s">
        <v>105</v>
      </c>
      <c r="G392" s="3" t="s">
        <v>59</v>
      </c>
      <c r="J392" s="13"/>
      <c r="K392" s="13"/>
      <c r="L392" s="3" t="s">
        <v>257</v>
      </c>
      <c r="M392" s="3" t="s">
        <v>143</v>
      </c>
      <c r="N392" s="3" t="s">
        <v>351</v>
      </c>
    </row>
    <row r="393" customFormat="false" ht="13.8" hidden="false" customHeight="false" outlineLevel="0" collapsed="false">
      <c r="A393" s="3" t="n">
        <v>392</v>
      </c>
      <c r="B393" s="3" t="s">
        <v>847</v>
      </c>
      <c r="C393" s="3" t="s">
        <v>105</v>
      </c>
      <c r="D393" s="3" t="s">
        <v>61</v>
      </c>
      <c r="E393" s="25" t="s">
        <v>482</v>
      </c>
      <c r="F393" s="3" t="s">
        <v>81</v>
      </c>
      <c r="G393" s="3"/>
      <c r="J393" s="13" t="n">
        <f aca="false">_xlfn.IFS(F393="","",M393=F393,1,M393&lt;&gt;F393,0)</f>
        <v>0</v>
      </c>
      <c r="K393" s="13" t="str">
        <f aca="false">_xlfn.IFS(G393="","",N393=G393,1,N393&lt;&gt;G393,0)</f>
        <v/>
      </c>
      <c r="L393" s="3"/>
      <c r="M393" s="3" t="s">
        <v>105</v>
      </c>
      <c r="N393" s="3" t="s">
        <v>61</v>
      </c>
    </row>
    <row r="394" customFormat="false" ht="13.8" hidden="false" customHeight="false" outlineLevel="0" collapsed="false">
      <c r="A394" s="3" t="n">
        <v>393</v>
      </c>
      <c r="B394" s="3" t="s">
        <v>833</v>
      </c>
      <c r="C394" s="3" t="s">
        <v>105</v>
      </c>
      <c r="D394" s="3" t="s">
        <v>61</v>
      </c>
      <c r="E394" s="25" t="s">
        <v>896</v>
      </c>
      <c r="F394" s="3"/>
      <c r="G394" s="3"/>
      <c r="J394" s="13" t="str">
        <f aca="false">_xlfn.IFS(F394="","",M394=F394,1,M394&lt;&gt;F394,0)</f>
        <v/>
      </c>
      <c r="K394" s="13" t="str">
        <f aca="false">_xlfn.IFS(G394="","",N394=G394,1,N394&lt;&gt;G394,0)</f>
        <v/>
      </c>
      <c r="L394" s="3"/>
      <c r="M394" s="3" t="s">
        <v>105</v>
      </c>
      <c r="N394" s="3" t="s">
        <v>61</v>
      </c>
    </row>
    <row r="395" customFormat="false" ht="13.8" hidden="false" customHeight="false" outlineLevel="0" collapsed="false">
      <c r="A395" s="3" t="n">
        <v>394</v>
      </c>
      <c r="B395" s="3" t="s">
        <v>624</v>
      </c>
      <c r="C395" s="3" t="s">
        <v>105</v>
      </c>
      <c r="D395" s="3" t="s">
        <v>61</v>
      </c>
      <c r="E395" s="25" t="s">
        <v>891</v>
      </c>
      <c r="F395" s="3" t="s">
        <v>164</v>
      </c>
      <c r="G395" s="3" t="s">
        <v>63</v>
      </c>
      <c r="J395" s="13" t="n">
        <f aca="false">_xlfn.IFS(F395="","",M395=F395,1,M395&lt;&gt;F395,0)</f>
        <v>0</v>
      </c>
      <c r="K395" s="13" t="n">
        <f aca="false">_xlfn.IFS(G395="","",N395=G395,1,N395&lt;&gt;G395,0)</f>
        <v>0</v>
      </c>
      <c r="L395" s="3"/>
      <c r="M395" s="3" t="s">
        <v>105</v>
      </c>
      <c r="N395" s="3" t="s">
        <v>61</v>
      </c>
    </row>
    <row r="396" customFormat="false" ht="13.8" hidden="false" customHeight="false" outlineLevel="0" collapsed="false">
      <c r="A396" s="3" t="n">
        <v>395</v>
      </c>
      <c r="B396" s="3" t="s">
        <v>534</v>
      </c>
      <c r="C396" s="3" t="s">
        <v>105</v>
      </c>
      <c r="D396" s="3" t="s">
        <v>61</v>
      </c>
      <c r="E396" s="25" t="s">
        <v>482</v>
      </c>
      <c r="F396" s="3" t="s">
        <v>105</v>
      </c>
      <c r="G396" s="3" t="s">
        <v>894</v>
      </c>
      <c r="J396" s="13" t="n">
        <f aca="false">_xlfn.IFS(F396="","",M396=F396,1,M396&lt;&gt;F396,0)</f>
        <v>1</v>
      </c>
      <c r="K396" s="13" t="n">
        <f aca="false">_xlfn.IFS(G396="","",N396=G396,1,N396&lt;&gt;G396,0)</f>
        <v>0</v>
      </c>
      <c r="L396" s="3"/>
      <c r="M396" s="3" t="s">
        <v>105</v>
      </c>
      <c r="N396" s="3" t="s">
        <v>61</v>
      </c>
    </row>
    <row r="397" customFormat="false" ht="13.8" hidden="false" customHeight="false" outlineLevel="0" collapsed="false">
      <c r="A397" s="3" t="n">
        <v>396</v>
      </c>
      <c r="B397" s="3" t="s">
        <v>634</v>
      </c>
      <c r="C397" s="3" t="s">
        <v>105</v>
      </c>
      <c r="D397" s="3" t="s">
        <v>61</v>
      </c>
      <c r="E397" s="25" t="s">
        <v>891</v>
      </c>
      <c r="F397" s="3" t="s">
        <v>164</v>
      </c>
      <c r="G397" s="3" t="s">
        <v>154</v>
      </c>
      <c r="J397" s="13" t="n">
        <f aca="false">_xlfn.IFS(F397="","",M397=F397,1,M397&lt;&gt;F397,0)</f>
        <v>0</v>
      </c>
      <c r="K397" s="13" t="n">
        <f aca="false">_xlfn.IFS(G397="","",N397=G397,1,N397&lt;&gt;G397,0)</f>
        <v>0</v>
      </c>
      <c r="L397" s="3"/>
      <c r="M397" s="3" t="s">
        <v>105</v>
      </c>
      <c r="N397" s="3" t="s">
        <v>61</v>
      </c>
    </row>
    <row r="398" customFormat="false" ht="13.8" hidden="false" customHeight="false" outlineLevel="0" collapsed="false">
      <c r="A398" s="3" t="n">
        <v>397</v>
      </c>
      <c r="B398" s="3" t="s">
        <v>848</v>
      </c>
      <c r="C398" s="3" t="s">
        <v>105</v>
      </c>
      <c r="D398" s="3" t="s">
        <v>61</v>
      </c>
      <c r="E398" s="25" t="s">
        <v>482</v>
      </c>
      <c r="F398" s="3" t="s">
        <v>105</v>
      </c>
      <c r="G398" s="3" t="s">
        <v>61</v>
      </c>
      <c r="J398" s="13" t="n">
        <f aca="false">_xlfn.IFS(F398="","",M398=F398,1,M398&lt;&gt;F398,0)</f>
        <v>1</v>
      </c>
      <c r="K398" s="13" t="n">
        <f aca="false">_xlfn.IFS(G398="","",N398=G398,1,N398&lt;&gt;G398,0)</f>
        <v>1</v>
      </c>
      <c r="L398" s="3"/>
      <c r="M398" s="3" t="s">
        <v>105</v>
      </c>
      <c r="N398" s="3" t="s">
        <v>61</v>
      </c>
    </row>
    <row r="399" customFormat="false" ht="13.8" hidden="false" customHeight="false" outlineLevel="0" collapsed="false">
      <c r="A399" s="3" t="n">
        <v>398</v>
      </c>
      <c r="B399" s="3" t="s">
        <v>436</v>
      </c>
      <c r="C399" s="3" t="s">
        <v>105</v>
      </c>
      <c r="D399" s="3" t="s">
        <v>77</v>
      </c>
      <c r="E399" s="25" t="s">
        <v>896</v>
      </c>
      <c r="F399" s="3"/>
      <c r="G399" s="3"/>
      <c r="J399" s="13" t="str">
        <f aca="false">_xlfn.IFS(F399="","",M399=F399,1,M399&lt;&gt;F399,0)</f>
        <v/>
      </c>
      <c r="K399" s="13" t="str">
        <f aca="false">_xlfn.IFS(G399="","",N399=G399,1,N399&lt;&gt;G399,0)</f>
        <v/>
      </c>
      <c r="L399" s="3"/>
      <c r="M399" s="3" t="s">
        <v>105</v>
      </c>
      <c r="N399" s="3" t="s">
        <v>894</v>
      </c>
    </row>
    <row r="400" customFormat="false" ht="13.8" hidden="false" customHeight="false" outlineLevel="0" collapsed="false">
      <c r="A400" s="3" t="n">
        <v>399</v>
      </c>
      <c r="B400" s="3" t="s">
        <v>373</v>
      </c>
      <c r="C400" s="3" t="s">
        <v>143</v>
      </c>
      <c r="D400" s="3" t="s">
        <v>198</v>
      </c>
      <c r="E400" s="25" t="s">
        <v>482</v>
      </c>
      <c r="F400" s="3" t="s">
        <v>143</v>
      </c>
      <c r="G400" s="3" t="s">
        <v>160</v>
      </c>
      <c r="J400" s="13"/>
      <c r="K400" s="13"/>
      <c r="L400" s="3" t="s">
        <v>257</v>
      </c>
      <c r="M400" s="3" t="s">
        <v>143</v>
      </c>
      <c r="N400" s="3" t="s">
        <v>198</v>
      </c>
    </row>
    <row r="401" customFormat="false" ht="13.8" hidden="false" customHeight="false" outlineLevel="0" collapsed="false">
      <c r="A401" s="3" t="n">
        <v>400</v>
      </c>
      <c r="B401" s="3" t="s">
        <v>347</v>
      </c>
      <c r="C401" s="3" t="s">
        <v>143</v>
      </c>
      <c r="D401" s="3" t="s">
        <v>198</v>
      </c>
      <c r="E401" s="25" t="s">
        <v>482</v>
      </c>
      <c r="F401" s="3" t="s">
        <v>81</v>
      </c>
      <c r="G401" s="3"/>
      <c r="J401" s="13"/>
      <c r="K401" s="13"/>
      <c r="L401" s="3" t="s">
        <v>257</v>
      </c>
      <c r="M401" s="3" t="s">
        <v>143</v>
      </c>
      <c r="N401" s="3" t="s">
        <v>198</v>
      </c>
    </row>
    <row r="402" customFormat="false" ht="13.8" hidden="false" customHeight="false" outlineLevel="0" collapsed="false">
      <c r="A402" s="3" t="n">
        <v>401</v>
      </c>
      <c r="B402" s="3" t="s">
        <v>357</v>
      </c>
      <c r="C402" s="3" t="s">
        <v>105</v>
      </c>
      <c r="D402" s="3" t="s">
        <v>55</v>
      </c>
      <c r="E402" s="25" t="s">
        <v>896</v>
      </c>
      <c r="F402" s="3"/>
      <c r="G402" s="3"/>
      <c r="J402" s="13" t="str">
        <f aca="false">_xlfn.IFS(F402="","",M402=F402,1,M402&lt;&gt;F402,0)</f>
        <v/>
      </c>
      <c r="K402" s="13" t="str">
        <f aca="false">_xlfn.IFS(G402="","",N402=G402,1,N402&lt;&gt;G402,0)</f>
        <v/>
      </c>
      <c r="L402" s="3"/>
      <c r="M402" s="3" t="s">
        <v>105</v>
      </c>
      <c r="N402" s="3" t="s">
        <v>55</v>
      </c>
    </row>
    <row r="403" customFormat="false" ht="13.8" hidden="false" customHeight="false" outlineLevel="0" collapsed="false">
      <c r="A403" s="3" t="n">
        <v>402</v>
      </c>
      <c r="B403" s="3" t="s">
        <v>293</v>
      </c>
      <c r="C403" s="3" t="s">
        <v>143</v>
      </c>
      <c r="D403" s="3" t="s">
        <v>256</v>
      </c>
      <c r="E403" s="25" t="s">
        <v>896</v>
      </c>
      <c r="F403" s="3"/>
      <c r="G403" s="3"/>
      <c r="J403" s="13"/>
      <c r="K403" s="13"/>
      <c r="L403" s="3" t="s">
        <v>257</v>
      </c>
      <c r="M403" s="3" t="s">
        <v>143</v>
      </c>
      <c r="N403" s="3" t="s">
        <v>256</v>
      </c>
    </row>
    <row r="404" customFormat="false" ht="13.8" hidden="false" customHeight="false" outlineLevel="0" collapsed="false">
      <c r="A404" s="3" t="n">
        <v>403</v>
      </c>
      <c r="B404" s="3" t="s">
        <v>760</v>
      </c>
      <c r="C404" s="3" t="s">
        <v>105</v>
      </c>
      <c r="D404" s="3" t="s">
        <v>61</v>
      </c>
      <c r="E404" s="25" t="s">
        <v>896</v>
      </c>
      <c r="F404" s="3"/>
      <c r="G404" s="3"/>
      <c r="J404" s="13" t="str">
        <f aca="false">_xlfn.IFS(F404="","",M404=F404,1,M404&lt;&gt;F404,0)</f>
        <v/>
      </c>
      <c r="K404" s="13" t="str">
        <f aca="false">_xlfn.IFS(G404="","",N404=G404,1,N404&lt;&gt;G404,0)</f>
        <v/>
      </c>
      <c r="L404" s="3"/>
      <c r="M404" s="3" t="s">
        <v>105</v>
      </c>
      <c r="N404" s="3" t="s">
        <v>61</v>
      </c>
    </row>
    <row r="405" customFormat="false" ht="13.8" hidden="false" customHeight="false" outlineLevel="0" collapsed="false">
      <c r="A405" s="3" t="n">
        <v>404</v>
      </c>
      <c r="B405" s="3" t="s">
        <v>818</v>
      </c>
      <c r="C405" s="3" t="s">
        <v>105</v>
      </c>
      <c r="D405" s="3" t="s">
        <v>77</v>
      </c>
      <c r="E405" s="25" t="s">
        <v>896</v>
      </c>
      <c r="F405" s="3"/>
      <c r="G405" s="3"/>
      <c r="J405" s="13" t="str">
        <f aca="false">_xlfn.IFS(F405="","",M405=F405,1,M405&lt;&gt;F405,0)</f>
        <v/>
      </c>
      <c r="K405" s="13" t="str">
        <f aca="false">_xlfn.IFS(G405="","",N405=G405,1,N405&lt;&gt;G405,0)</f>
        <v/>
      </c>
      <c r="L405" s="3"/>
      <c r="M405" s="3" t="s">
        <v>105</v>
      </c>
      <c r="N405" s="3" t="s">
        <v>894</v>
      </c>
    </row>
    <row r="406" customFormat="false" ht="13.8" hidden="false" customHeight="false" outlineLevel="0" collapsed="false">
      <c r="A406" s="3" t="n">
        <v>405</v>
      </c>
      <c r="B406" s="3" t="s">
        <v>403</v>
      </c>
      <c r="C406" s="3" t="s">
        <v>105</v>
      </c>
      <c r="D406" s="3" t="s">
        <v>61</v>
      </c>
      <c r="E406" s="25" t="s">
        <v>482</v>
      </c>
      <c r="F406" s="3" t="s">
        <v>105</v>
      </c>
      <c r="G406" s="3" t="s">
        <v>61</v>
      </c>
      <c r="J406" s="13" t="n">
        <f aca="false">_xlfn.IFS(F406="","",M406=F406,1,M406&lt;&gt;F406,0)</f>
        <v>1</v>
      </c>
      <c r="K406" s="13" t="n">
        <f aca="false">_xlfn.IFS(G406="","",N406=G406,1,N406&lt;&gt;G406,0)</f>
        <v>1</v>
      </c>
      <c r="L406" s="3"/>
      <c r="M406" s="3" t="s">
        <v>105</v>
      </c>
      <c r="N406" s="3" t="s">
        <v>61</v>
      </c>
    </row>
    <row r="407" customFormat="false" ht="13.8" hidden="false" customHeight="false" outlineLevel="0" collapsed="false">
      <c r="A407" s="3" t="n">
        <v>406</v>
      </c>
      <c r="B407" s="3" t="s">
        <v>537</v>
      </c>
      <c r="C407" s="3" t="s">
        <v>143</v>
      </c>
      <c r="D407" s="3" t="s">
        <v>288</v>
      </c>
      <c r="E407" s="25" t="s">
        <v>482</v>
      </c>
      <c r="F407" s="3" t="s">
        <v>81</v>
      </c>
      <c r="G407" s="3"/>
      <c r="J407" s="13"/>
      <c r="K407" s="13"/>
      <c r="L407" s="3" t="s">
        <v>257</v>
      </c>
      <c r="M407" s="3" t="s">
        <v>143</v>
      </c>
      <c r="N407" s="3" t="s">
        <v>288</v>
      </c>
    </row>
    <row r="408" customFormat="false" ht="13.8" hidden="false" customHeight="false" outlineLevel="0" collapsed="false">
      <c r="A408" s="3" t="n">
        <v>407</v>
      </c>
      <c r="B408" s="3" t="s">
        <v>329</v>
      </c>
      <c r="C408" s="3" t="s">
        <v>150</v>
      </c>
      <c r="D408" s="3" t="s">
        <v>245</v>
      </c>
      <c r="E408" s="25" t="s">
        <v>891</v>
      </c>
      <c r="F408" s="3" t="s">
        <v>164</v>
      </c>
      <c r="G408" s="3" t="s">
        <v>63</v>
      </c>
      <c r="J408" s="13" t="n">
        <f aca="false">_xlfn.IFS(F408="","",M408=F408,1,M408&lt;&gt;F408,0)</f>
        <v>1</v>
      </c>
      <c r="K408" s="13" t="n">
        <f aca="false">_xlfn.IFS(G408="","",N408=G408,1,N408&lt;&gt;G408,0)</f>
        <v>0</v>
      </c>
      <c r="L408" s="3"/>
      <c r="M408" s="3" t="s">
        <v>164</v>
      </c>
      <c r="N408" s="3" t="s">
        <v>899</v>
      </c>
    </row>
    <row r="409" customFormat="false" ht="13.8" hidden="false" customHeight="false" outlineLevel="0" collapsed="false">
      <c r="A409" s="3" t="n">
        <v>408</v>
      </c>
      <c r="B409" s="3" t="s">
        <v>577</v>
      </c>
      <c r="C409" s="3" t="s">
        <v>143</v>
      </c>
      <c r="D409" s="3" t="s">
        <v>256</v>
      </c>
      <c r="E409" s="25" t="s">
        <v>482</v>
      </c>
      <c r="F409" s="3" t="s">
        <v>105</v>
      </c>
      <c r="G409" s="3" t="s">
        <v>61</v>
      </c>
      <c r="J409" s="13"/>
      <c r="K409" s="13"/>
      <c r="L409" s="3" t="s">
        <v>257</v>
      </c>
      <c r="M409" s="3" t="s">
        <v>143</v>
      </c>
      <c r="N409" s="3" t="s">
        <v>256</v>
      </c>
    </row>
    <row r="410" customFormat="false" ht="13.8" hidden="false" customHeight="false" outlineLevel="0" collapsed="false">
      <c r="A410" s="3" t="n">
        <v>409</v>
      </c>
      <c r="B410" s="3" t="s">
        <v>744</v>
      </c>
      <c r="C410" s="3" t="s">
        <v>143</v>
      </c>
      <c r="D410" s="3" t="s">
        <v>288</v>
      </c>
      <c r="E410" s="25" t="s">
        <v>482</v>
      </c>
      <c r="F410" s="3" t="s">
        <v>105</v>
      </c>
      <c r="G410" s="3" t="s">
        <v>61</v>
      </c>
      <c r="J410" s="13"/>
      <c r="K410" s="13"/>
      <c r="L410" s="3" t="s">
        <v>257</v>
      </c>
      <c r="M410" s="3" t="s">
        <v>143</v>
      </c>
      <c r="N410" s="3" t="s">
        <v>288</v>
      </c>
    </row>
    <row r="411" customFormat="false" ht="13.8" hidden="false" customHeight="false" outlineLevel="0" collapsed="false">
      <c r="A411" s="3" t="n">
        <v>410</v>
      </c>
      <c r="B411" s="3" t="s">
        <v>294</v>
      </c>
      <c r="C411" s="3" t="s">
        <v>150</v>
      </c>
      <c r="D411" s="3" t="s">
        <v>245</v>
      </c>
      <c r="E411" s="25" t="s">
        <v>891</v>
      </c>
      <c r="F411" s="3" t="s">
        <v>164</v>
      </c>
      <c r="G411" s="3" t="s">
        <v>899</v>
      </c>
      <c r="J411" s="13" t="n">
        <f aca="false">_xlfn.IFS(F411="","",M411=F411,1,M411&lt;&gt;F411,0)</f>
        <v>1</v>
      </c>
      <c r="K411" s="13" t="n">
        <f aca="false">_xlfn.IFS(G411="","",N411=G411,1,N411&lt;&gt;G411,0)</f>
        <v>1</v>
      </c>
      <c r="L411" s="3"/>
      <c r="M411" s="3" t="s">
        <v>164</v>
      </c>
      <c r="N411" s="3" t="s">
        <v>899</v>
      </c>
    </row>
    <row r="412" customFormat="false" ht="13.8" hidden="false" customHeight="false" outlineLevel="0" collapsed="false">
      <c r="A412" s="3" t="n">
        <v>411</v>
      </c>
      <c r="B412" s="3" t="s">
        <v>636</v>
      </c>
      <c r="C412" s="3" t="s">
        <v>150</v>
      </c>
      <c r="D412" s="3" t="s">
        <v>75</v>
      </c>
      <c r="E412" s="25" t="s">
        <v>896</v>
      </c>
      <c r="F412" s="3"/>
      <c r="G412" s="3"/>
      <c r="J412" s="13"/>
      <c r="K412" s="13"/>
      <c r="L412" s="3" t="s">
        <v>257</v>
      </c>
      <c r="M412" s="3" t="s">
        <v>164</v>
      </c>
      <c r="N412" s="3" t="s">
        <v>75</v>
      </c>
    </row>
    <row r="413" customFormat="false" ht="13.8" hidden="false" customHeight="false" outlineLevel="0" collapsed="false">
      <c r="A413" s="3" t="n">
        <v>412</v>
      </c>
      <c r="B413" s="3" t="s">
        <v>391</v>
      </c>
      <c r="C413" s="3" t="s">
        <v>150</v>
      </c>
      <c r="D413" s="3" t="s">
        <v>245</v>
      </c>
      <c r="E413" s="25" t="s">
        <v>482</v>
      </c>
      <c r="F413" s="3" t="s">
        <v>81</v>
      </c>
      <c r="G413" s="3"/>
      <c r="J413" s="13" t="n">
        <f aca="false">_xlfn.IFS(F413="","",M413=F413,1,M413&lt;&gt;F413,0)</f>
        <v>0</v>
      </c>
      <c r="K413" s="13" t="str">
        <f aca="false">_xlfn.IFS(G413="","",N413=G413,1,N413&lt;&gt;G413,0)</f>
        <v/>
      </c>
      <c r="L413" s="3"/>
      <c r="M413" s="3" t="s">
        <v>164</v>
      </c>
      <c r="N413" s="3" t="s">
        <v>899</v>
      </c>
    </row>
    <row r="414" customFormat="false" ht="13.8" hidden="false" customHeight="false" outlineLevel="0" collapsed="false">
      <c r="A414" s="3" t="n">
        <v>413</v>
      </c>
      <c r="B414" s="3" t="s">
        <v>631</v>
      </c>
      <c r="C414" s="3" t="s">
        <v>105</v>
      </c>
      <c r="D414" s="3" t="s">
        <v>77</v>
      </c>
      <c r="E414" s="25" t="s">
        <v>896</v>
      </c>
      <c r="F414" s="3"/>
      <c r="G414" s="3"/>
      <c r="J414" s="13" t="str">
        <f aca="false">_xlfn.IFS(F414="","",M414=F414,1,M414&lt;&gt;F414,0)</f>
        <v/>
      </c>
      <c r="K414" s="13" t="str">
        <f aca="false">_xlfn.IFS(G414="","",N414=G414,1,N414&lt;&gt;G414,0)</f>
        <v/>
      </c>
      <c r="L414" s="3"/>
      <c r="M414" s="3" t="s">
        <v>105</v>
      </c>
      <c r="N414" s="3" t="s">
        <v>894</v>
      </c>
    </row>
    <row r="415" customFormat="false" ht="13.8" hidden="false" customHeight="false" outlineLevel="0" collapsed="false">
      <c r="A415" s="3" t="n">
        <v>414</v>
      </c>
      <c r="B415" s="3" t="s">
        <v>423</v>
      </c>
      <c r="C415" s="3" t="s">
        <v>143</v>
      </c>
      <c r="D415" s="3" t="s">
        <v>351</v>
      </c>
      <c r="E415" s="25" t="s">
        <v>896</v>
      </c>
      <c r="F415" s="3"/>
      <c r="G415" s="3"/>
      <c r="J415" s="13"/>
      <c r="K415" s="13"/>
      <c r="L415" s="3" t="s">
        <v>257</v>
      </c>
      <c r="M415" s="3" t="s">
        <v>143</v>
      </c>
      <c r="N415" s="3" t="s">
        <v>351</v>
      </c>
    </row>
    <row r="416" customFormat="false" ht="13.8" hidden="false" customHeight="false" outlineLevel="0" collapsed="false">
      <c r="A416" s="3" t="n">
        <v>415</v>
      </c>
      <c r="B416" s="3" t="s">
        <v>676</v>
      </c>
      <c r="C416" s="3" t="s">
        <v>105</v>
      </c>
      <c r="D416" s="3" t="s">
        <v>61</v>
      </c>
      <c r="E416" s="25" t="s">
        <v>482</v>
      </c>
      <c r="F416" s="3" t="s">
        <v>105</v>
      </c>
      <c r="G416" s="3" t="s">
        <v>61</v>
      </c>
      <c r="J416" s="13" t="n">
        <f aca="false">_xlfn.IFS(F416="","",M416=F416,1,M416&lt;&gt;F416,0)</f>
        <v>1</v>
      </c>
      <c r="K416" s="13" t="n">
        <f aca="false">_xlfn.IFS(G416="","",N416=G416,1,N416&lt;&gt;G416,0)</f>
        <v>1</v>
      </c>
      <c r="L416" s="3"/>
      <c r="M416" s="3" t="s">
        <v>105</v>
      </c>
      <c r="N416" s="3" t="s">
        <v>61</v>
      </c>
    </row>
    <row r="417" customFormat="false" ht="13.8" hidden="false" customHeight="false" outlineLevel="0" collapsed="false">
      <c r="A417" s="3" t="n">
        <v>416</v>
      </c>
      <c r="B417" s="3" t="s">
        <v>524</v>
      </c>
      <c r="C417" s="3" t="s">
        <v>105</v>
      </c>
      <c r="D417" s="3" t="s">
        <v>61</v>
      </c>
      <c r="E417" s="25" t="s">
        <v>482</v>
      </c>
      <c r="F417" s="3" t="s">
        <v>105</v>
      </c>
      <c r="G417" s="3" t="s">
        <v>894</v>
      </c>
      <c r="J417" s="13" t="n">
        <f aca="false">_xlfn.IFS(F417="","",M417=F417,1,M417&lt;&gt;F417,0)</f>
        <v>1</v>
      </c>
      <c r="K417" s="13" t="n">
        <f aca="false">_xlfn.IFS(G417="","",N417=G417,1,N417&lt;&gt;G417,0)</f>
        <v>0</v>
      </c>
      <c r="L417" s="3"/>
      <c r="M417" s="3" t="s">
        <v>105</v>
      </c>
      <c r="N417" s="3" t="s">
        <v>61</v>
      </c>
    </row>
    <row r="418" customFormat="false" ht="13.8" hidden="false" customHeight="false" outlineLevel="0" collapsed="false">
      <c r="A418" s="3" t="n">
        <v>417</v>
      </c>
      <c r="B418" s="3" t="s">
        <v>295</v>
      </c>
      <c r="C418" s="3" t="s">
        <v>105</v>
      </c>
      <c r="D418" s="3" t="s">
        <v>61</v>
      </c>
      <c r="E418" s="25" t="s">
        <v>482</v>
      </c>
      <c r="F418" s="3" t="s">
        <v>105</v>
      </c>
      <c r="G418" s="3" t="s">
        <v>894</v>
      </c>
      <c r="J418" s="13" t="n">
        <f aca="false">_xlfn.IFS(F418="","",M418=F418,1,M418&lt;&gt;F418,0)</f>
        <v>1</v>
      </c>
      <c r="K418" s="13" t="n">
        <f aca="false">_xlfn.IFS(G418="","",N418=G418,1,N418&lt;&gt;G418,0)</f>
        <v>0</v>
      </c>
      <c r="L418" s="3"/>
      <c r="M418" s="3" t="s">
        <v>105</v>
      </c>
      <c r="N418" s="3" t="s">
        <v>61</v>
      </c>
    </row>
    <row r="419" customFormat="false" ht="13.8" hidden="false" customHeight="false" outlineLevel="0" collapsed="false">
      <c r="A419" s="3" t="n">
        <v>418</v>
      </c>
      <c r="B419" s="3" t="s">
        <v>866</v>
      </c>
      <c r="C419" s="3" t="s">
        <v>143</v>
      </c>
      <c r="D419" s="3" t="s">
        <v>198</v>
      </c>
      <c r="E419" s="25" t="s">
        <v>891</v>
      </c>
      <c r="F419" s="3" t="s">
        <v>164</v>
      </c>
      <c r="G419" s="3" t="s">
        <v>154</v>
      </c>
      <c r="J419" s="13"/>
      <c r="K419" s="13"/>
      <c r="L419" s="3" t="s">
        <v>257</v>
      </c>
      <c r="M419" s="3" t="s">
        <v>143</v>
      </c>
      <c r="N419" s="3" t="s">
        <v>198</v>
      </c>
    </row>
    <row r="420" customFormat="false" ht="13.8" hidden="false" customHeight="false" outlineLevel="0" collapsed="false">
      <c r="A420" s="3" t="n">
        <v>419</v>
      </c>
      <c r="B420" s="3" t="s">
        <v>418</v>
      </c>
      <c r="C420" s="3" t="s">
        <v>105</v>
      </c>
      <c r="D420" s="3" t="s">
        <v>61</v>
      </c>
      <c r="E420" s="25" t="s">
        <v>896</v>
      </c>
      <c r="F420" s="3"/>
      <c r="G420" s="3"/>
      <c r="J420" s="13" t="str">
        <f aca="false">_xlfn.IFS(F420="","",M420=F420,1,M420&lt;&gt;F420,0)</f>
        <v/>
      </c>
      <c r="K420" s="13" t="str">
        <f aca="false">_xlfn.IFS(G420="","",N420=G420,1,N420&lt;&gt;G420,0)</f>
        <v/>
      </c>
      <c r="L420" s="3"/>
      <c r="M420" s="3" t="s">
        <v>105</v>
      </c>
      <c r="N420" s="3" t="s">
        <v>61</v>
      </c>
    </row>
    <row r="421" customFormat="false" ht="13.8" hidden="false" customHeight="false" outlineLevel="0" collapsed="false">
      <c r="A421" s="3" t="n">
        <v>420</v>
      </c>
      <c r="B421" s="3" t="s">
        <v>829</v>
      </c>
      <c r="C421" s="3" t="s">
        <v>105</v>
      </c>
      <c r="D421" s="3" t="s">
        <v>61</v>
      </c>
      <c r="E421" s="25" t="s">
        <v>891</v>
      </c>
      <c r="F421" s="3" t="s">
        <v>164</v>
      </c>
      <c r="G421" s="3" t="s">
        <v>63</v>
      </c>
      <c r="J421" s="13" t="n">
        <f aca="false">_xlfn.IFS(F421="","",M421=F421,1,M421&lt;&gt;F421,0)</f>
        <v>0</v>
      </c>
      <c r="K421" s="13" t="n">
        <f aca="false">_xlfn.IFS(G421="","",N421=G421,1,N421&lt;&gt;G421,0)</f>
        <v>0</v>
      </c>
      <c r="L421" s="3"/>
      <c r="M421" s="3" t="s">
        <v>105</v>
      </c>
      <c r="N421" s="3" t="s">
        <v>61</v>
      </c>
    </row>
    <row r="422" customFormat="false" ht="13.8" hidden="false" customHeight="false" outlineLevel="0" collapsed="false">
      <c r="A422" s="3" t="n">
        <v>421</v>
      </c>
      <c r="B422" s="3" t="s">
        <v>705</v>
      </c>
      <c r="C422" s="3" t="s">
        <v>105</v>
      </c>
      <c r="D422" s="3" t="s">
        <v>61</v>
      </c>
      <c r="E422" s="25" t="s">
        <v>482</v>
      </c>
      <c r="F422" s="3" t="s">
        <v>105</v>
      </c>
      <c r="G422" s="3" t="s">
        <v>61</v>
      </c>
      <c r="J422" s="13" t="n">
        <f aca="false">_xlfn.IFS(F422="","",M422=F422,1,M422&lt;&gt;F422,0)</f>
        <v>1</v>
      </c>
      <c r="K422" s="13" t="n">
        <f aca="false">_xlfn.IFS(G422="","",N422=G422,1,N422&lt;&gt;G422,0)</f>
        <v>1</v>
      </c>
      <c r="L422" s="3"/>
      <c r="M422" s="3" t="s">
        <v>105</v>
      </c>
      <c r="N422" s="3" t="s">
        <v>61</v>
      </c>
    </row>
    <row r="423" customFormat="false" ht="13.8" hidden="false" customHeight="false" outlineLevel="0" collapsed="false">
      <c r="A423" s="3" t="n">
        <v>422</v>
      </c>
      <c r="B423" s="3" t="s">
        <v>448</v>
      </c>
      <c r="C423" s="3" t="s">
        <v>105</v>
      </c>
      <c r="D423" s="3" t="s">
        <v>77</v>
      </c>
      <c r="E423" s="25" t="s">
        <v>896</v>
      </c>
      <c r="F423" s="3"/>
      <c r="G423" s="3"/>
      <c r="J423" s="13" t="str">
        <f aca="false">_xlfn.IFS(F423="","",M423=F423,1,M423&lt;&gt;F423,0)</f>
        <v/>
      </c>
      <c r="K423" s="13" t="str">
        <f aca="false">_xlfn.IFS(G423="","",N423=G423,1,N423&lt;&gt;G423,0)</f>
        <v/>
      </c>
      <c r="L423" s="3"/>
      <c r="M423" s="3" t="s">
        <v>105</v>
      </c>
      <c r="N423" s="3" t="s">
        <v>894</v>
      </c>
    </row>
    <row r="424" customFormat="false" ht="13.8" hidden="false" customHeight="false" outlineLevel="0" collapsed="false">
      <c r="A424" s="3" t="n">
        <v>423</v>
      </c>
      <c r="B424" s="3" t="s">
        <v>603</v>
      </c>
      <c r="C424" s="3" t="s">
        <v>105</v>
      </c>
      <c r="D424" s="3" t="s">
        <v>61</v>
      </c>
      <c r="E424" s="25" t="s">
        <v>896</v>
      </c>
      <c r="F424" s="3"/>
      <c r="G424" s="3"/>
      <c r="J424" s="13" t="str">
        <f aca="false">_xlfn.IFS(F424="","",M424=F424,1,M424&lt;&gt;F424,0)</f>
        <v/>
      </c>
      <c r="K424" s="13" t="str">
        <f aca="false">_xlfn.IFS(G424="","",N424=G424,1,N424&lt;&gt;G424,0)</f>
        <v/>
      </c>
      <c r="L424" s="3"/>
      <c r="M424" s="3" t="s">
        <v>105</v>
      </c>
      <c r="N424" s="3" t="s">
        <v>61</v>
      </c>
    </row>
    <row r="425" customFormat="false" ht="13.8" hidden="false" customHeight="false" outlineLevel="0" collapsed="false">
      <c r="A425" s="3" t="n">
        <v>424</v>
      </c>
      <c r="B425" s="3" t="s">
        <v>363</v>
      </c>
      <c r="C425" s="3" t="s">
        <v>143</v>
      </c>
      <c r="D425" s="3" t="s">
        <v>256</v>
      </c>
      <c r="E425" s="25" t="s">
        <v>891</v>
      </c>
      <c r="F425" s="3" t="s">
        <v>164</v>
      </c>
      <c r="G425" s="3" t="s">
        <v>154</v>
      </c>
      <c r="J425" s="13"/>
      <c r="K425" s="13"/>
      <c r="L425" s="3" t="s">
        <v>257</v>
      </c>
      <c r="M425" s="3" t="s">
        <v>143</v>
      </c>
      <c r="N425" s="3" t="s">
        <v>256</v>
      </c>
    </row>
    <row r="426" customFormat="false" ht="13.8" hidden="false" customHeight="false" outlineLevel="0" collapsed="false">
      <c r="A426" s="3" t="n">
        <v>425</v>
      </c>
      <c r="B426" s="3" t="s">
        <v>246</v>
      </c>
      <c r="C426" s="3" t="s">
        <v>105</v>
      </c>
      <c r="D426" s="3" t="s">
        <v>61</v>
      </c>
      <c r="E426" s="25" t="s">
        <v>891</v>
      </c>
      <c r="F426" s="3" t="s">
        <v>164</v>
      </c>
      <c r="G426" s="3" t="s">
        <v>884</v>
      </c>
      <c r="J426" s="13" t="n">
        <f aca="false">_xlfn.IFS(F426="","",M426=F426,1,M426&lt;&gt;F426,0)</f>
        <v>0</v>
      </c>
      <c r="K426" s="13" t="n">
        <f aca="false">_xlfn.IFS(G426="","",N426=G426,1,N426&lt;&gt;G426,0)</f>
        <v>0</v>
      </c>
      <c r="L426" s="3"/>
      <c r="M426" s="3" t="s">
        <v>105</v>
      </c>
      <c r="N426" s="3" t="s">
        <v>61</v>
      </c>
    </row>
    <row r="427" customFormat="false" ht="13.8" hidden="false" customHeight="false" outlineLevel="0" collapsed="false">
      <c r="A427" s="3" t="n">
        <v>426</v>
      </c>
      <c r="B427" s="3" t="s">
        <v>658</v>
      </c>
      <c r="C427" s="3" t="s">
        <v>105</v>
      </c>
      <c r="D427" s="3" t="s">
        <v>77</v>
      </c>
      <c r="E427" s="25" t="s">
        <v>891</v>
      </c>
      <c r="F427" s="3" t="s">
        <v>164</v>
      </c>
      <c r="G427" s="3" t="s">
        <v>63</v>
      </c>
      <c r="J427" s="13" t="n">
        <f aca="false">_xlfn.IFS(F427="","",M427=F427,1,M427&lt;&gt;F427,0)</f>
        <v>0</v>
      </c>
      <c r="K427" s="13" t="n">
        <f aca="false">_xlfn.IFS(G427="","",N427=G427,1,N427&lt;&gt;G427,0)</f>
        <v>0</v>
      </c>
      <c r="L427" s="3"/>
      <c r="M427" s="3" t="s">
        <v>105</v>
      </c>
      <c r="N427" s="3" t="s">
        <v>894</v>
      </c>
    </row>
    <row r="428" customFormat="false" ht="13.8" hidden="false" customHeight="false" outlineLevel="0" collapsed="false">
      <c r="A428" s="3" t="n">
        <v>427</v>
      </c>
      <c r="B428" s="3" t="s">
        <v>605</v>
      </c>
      <c r="C428" s="3" t="s">
        <v>105</v>
      </c>
      <c r="D428" s="3" t="s">
        <v>77</v>
      </c>
      <c r="E428" s="25" t="s">
        <v>482</v>
      </c>
      <c r="F428" s="3" t="s">
        <v>105</v>
      </c>
      <c r="G428" s="3" t="s">
        <v>61</v>
      </c>
      <c r="J428" s="13" t="n">
        <f aca="false">_xlfn.IFS(F428="","",M428=F428,1,M428&lt;&gt;F428,0)</f>
        <v>1</v>
      </c>
      <c r="K428" s="13" t="n">
        <f aca="false">_xlfn.IFS(G428="","",N428=G428,1,N428&lt;&gt;G428,0)</f>
        <v>0</v>
      </c>
      <c r="L428" s="3"/>
      <c r="M428" s="3" t="s">
        <v>105</v>
      </c>
      <c r="N428" s="3" t="s">
        <v>894</v>
      </c>
    </row>
    <row r="429" customFormat="false" ht="13.8" hidden="false" customHeight="false" outlineLevel="0" collapsed="false">
      <c r="A429" s="3" t="n">
        <v>428</v>
      </c>
      <c r="B429" s="3" t="s">
        <v>453</v>
      </c>
      <c r="C429" s="3" t="s">
        <v>150</v>
      </c>
      <c r="D429" s="3" t="s">
        <v>245</v>
      </c>
      <c r="E429" s="25" t="s">
        <v>891</v>
      </c>
      <c r="F429" s="3" t="s">
        <v>164</v>
      </c>
      <c r="G429" s="3" t="s">
        <v>154</v>
      </c>
      <c r="J429" s="13" t="n">
        <f aca="false">_xlfn.IFS(F429="","",M429=F429,1,M429&lt;&gt;F429,0)</f>
        <v>1</v>
      </c>
      <c r="K429" s="13" t="n">
        <f aca="false">_xlfn.IFS(G429="","",N429=G429,1,N429&lt;&gt;G429,0)</f>
        <v>0</v>
      </c>
      <c r="L429" s="3"/>
      <c r="M429" s="3" t="s">
        <v>164</v>
      </c>
      <c r="N429" s="3" t="s">
        <v>899</v>
      </c>
    </row>
    <row r="430" customFormat="false" ht="13.8" hidden="false" customHeight="false" outlineLevel="0" collapsed="false">
      <c r="A430" s="3" t="n">
        <v>429</v>
      </c>
      <c r="B430" s="3" t="s">
        <v>786</v>
      </c>
      <c r="C430" s="3" t="s">
        <v>105</v>
      </c>
      <c r="D430" s="3" t="s">
        <v>77</v>
      </c>
      <c r="E430" s="25" t="s">
        <v>891</v>
      </c>
      <c r="F430" s="3" t="s">
        <v>164</v>
      </c>
      <c r="G430" s="3" t="s">
        <v>154</v>
      </c>
      <c r="J430" s="13" t="n">
        <f aca="false">_xlfn.IFS(F430="","",M430=F430,1,M430&lt;&gt;F430,0)</f>
        <v>0</v>
      </c>
      <c r="K430" s="13" t="n">
        <f aca="false">_xlfn.IFS(G430="","",N430=G430,1,N430&lt;&gt;G430,0)</f>
        <v>0</v>
      </c>
      <c r="L430" s="3"/>
      <c r="M430" s="3" t="s">
        <v>105</v>
      </c>
      <c r="N430" s="3" t="s">
        <v>894</v>
      </c>
    </row>
    <row r="431" customFormat="false" ht="13.8" hidden="false" customHeight="false" outlineLevel="0" collapsed="false">
      <c r="A431" s="3" t="n">
        <v>430</v>
      </c>
      <c r="B431" s="3" t="s">
        <v>434</v>
      </c>
      <c r="C431" s="3" t="s">
        <v>105</v>
      </c>
      <c r="D431" s="3" t="s">
        <v>61</v>
      </c>
      <c r="E431" s="25" t="s">
        <v>896</v>
      </c>
      <c r="F431" s="3"/>
      <c r="G431" s="3"/>
      <c r="J431" s="13" t="str">
        <f aca="false">_xlfn.IFS(F431="","",M431=F431,1,M431&lt;&gt;F431,0)</f>
        <v/>
      </c>
      <c r="K431" s="13" t="str">
        <f aca="false">_xlfn.IFS(G431="","",N431=G431,1,N431&lt;&gt;G431,0)</f>
        <v/>
      </c>
      <c r="L431" s="3"/>
      <c r="M431" s="3" t="s">
        <v>105</v>
      </c>
      <c r="N431" s="3" t="s">
        <v>61</v>
      </c>
    </row>
    <row r="432" customFormat="false" ht="13.8" hidden="false" customHeight="false" outlineLevel="0" collapsed="false">
      <c r="A432" s="3" t="n">
        <v>431</v>
      </c>
      <c r="B432" s="3" t="s">
        <v>424</v>
      </c>
      <c r="C432" s="3" t="s">
        <v>105</v>
      </c>
      <c r="D432" s="3" t="s">
        <v>61</v>
      </c>
      <c r="E432" s="25" t="s">
        <v>482</v>
      </c>
      <c r="F432" s="3" t="s">
        <v>105</v>
      </c>
      <c r="G432" s="3" t="s">
        <v>61</v>
      </c>
      <c r="J432" s="13" t="n">
        <f aca="false">_xlfn.IFS(F432="","",M432=F432,1,M432&lt;&gt;F432,0)</f>
        <v>1</v>
      </c>
      <c r="K432" s="13" t="n">
        <f aca="false">_xlfn.IFS(G432="","",N432=G432,1,N432&lt;&gt;G432,0)</f>
        <v>1</v>
      </c>
      <c r="L432" s="3"/>
      <c r="M432" s="3" t="s">
        <v>105</v>
      </c>
      <c r="N432" s="3" t="s">
        <v>61</v>
      </c>
    </row>
    <row r="433" customFormat="false" ht="13.8" hidden="false" customHeight="false" outlineLevel="0" collapsed="false">
      <c r="A433" s="3" t="n">
        <v>432</v>
      </c>
      <c r="B433" s="3" t="s">
        <v>449</v>
      </c>
      <c r="C433" s="3" t="s">
        <v>105</v>
      </c>
      <c r="D433" s="3" t="s">
        <v>61</v>
      </c>
      <c r="E433" s="25" t="s">
        <v>891</v>
      </c>
      <c r="F433" s="3" t="s">
        <v>164</v>
      </c>
      <c r="G433" s="3" t="s">
        <v>63</v>
      </c>
      <c r="J433" s="13" t="n">
        <f aca="false">_xlfn.IFS(F433="","",M433=F433,1,M433&lt;&gt;F433,0)</f>
        <v>0</v>
      </c>
      <c r="K433" s="13" t="n">
        <f aca="false">_xlfn.IFS(G433="","",N433=G433,1,N433&lt;&gt;G433,0)</f>
        <v>0</v>
      </c>
      <c r="L433" s="3"/>
      <c r="M433" s="3" t="s">
        <v>105</v>
      </c>
      <c r="N433" s="3" t="s">
        <v>61</v>
      </c>
    </row>
    <row r="434" customFormat="false" ht="13.8" hidden="false" customHeight="false" outlineLevel="0" collapsed="false">
      <c r="A434" s="3" t="n">
        <v>433</v>
      </c>
      <c r="B434" s="3" t="s">
        <v>546</v>
      </c>
      <c r="C434" s="3" t="s">
        <v>105</v>
      </c>
      <c r="D434" s="3" t="s">
        <v>61</v>
      </c>
      <c r="E434" s="25" t="s">
        <v>896</v>
      </c>
      <c r="F434" s="3"/>
      <c r="G434" s="3"/>
      <c r="J434" s="13" t="str">
        <f aca="false">_xlfn.IFS(F434="","",M434=F434,1,M434&lt;&gt;F434,0)</f>
        <v/>
      </c>
      <c r="K434" s="13" t="str">
        <f aca="false">_xlfn.IFS(G434="","",N434=G434,1,N434&lt;&gt;G434,0)</f>
        <v/>
      </c>
      <c r="L434" s="3"/>
      <c r="M434" s="3" t="s">
        <v>105</v>
      </c>
      <c r="N434" s="3" t="s">
        <v>61</v>
      </c>
    </row>
    <row r="435" customFormat="false" ht="13.8" hidden="false" customHeight="false" outlineLevel="0" collapsed="false">
      <c r="A435" s="3" t="n">
        <v>434</v>
      </c>
      <c r="B435" s="3" t="s">
        <v>435</v>
      </c>
      <c r="C435" s="3" t="s">
        <v>133</v>
      </c>
      <c r="D435" s="3" t="s">
        <v>65</v>
      </c>
      <c r="E435" s="25" t="s">
        <v>896</v>
      </c>
      <c r="F435" s="3"/>
      <c r="G435" s="3"/>
      <c r="J435" s="13"/>
      <c r="K435" s="13"/>
      <c r="L435" s="3" t="s">
        <v>257</v>
      </c>
      <c r="M435" s="3" t="s">
        <v>133</v>
      </c>
      <c r="N435" s="3" t="s">
        <v>65</v>
      </c>
    </row>
    <row r="436" customFormat="false" ht="13.8" hidden="false" customHeight="false" outlineLevel="0" collapsed="false">
      <c r="A436" s="3" t="n">
        <v>435</v>
      </c>
      <c r="B436" s="3" t="s">
        <v>858</v>
      </c>
      <c r="C436" s="3" t="s">
        <v>143</v>
      </c>
      <c r="D436" s="3" t="s">
        <v>351</v>
      </c>
      <c r="E436" s="25" t="s">
        <v>891</v>
      </c>
      <c r="F436" s="3" t="s">
        <v>164</v>
      </c>
      <c r="G436" s="3" t="s">
        <v>884</v>
      </c>
      <c r="J436" s="13"/>
      <c r="K436" s="13"/>
      <c r="L436" s="3" t="s">
        <v>257</v>
      </c>
      <c r="M436" s="3" t="s">
        <v>143</v>
      </c>
      <c r="N436" s="3" t="s">
        <v>351</v>
      </c>
    </row>
    <row r="437" customFormat="false" ht="13.8" hidden="false" customHeight="false" outlineLevel="0" collapsed="false">
      <c r="A437" s="3" t="n">
        <v>436</v>
      </c>
      <c r="B437" s="3" t="s">
        <v>721</v>
      </c>
      <c r="C437" s="3" t="s">
        <v>105</v>
      </c>
      <c r="D437" s="3" t="s">
        <v>61</v>
      </c>
      <c r="E437" s="25" t="s">
        <v>896</v>
      </c>
      <c r="F437" s="3"/>
      <c r="G437" s="3"/>
      <c r="J437" s="13" t="str">
        <f aca="false">_xlfn.IFS(F437="","",M437=F437,1,M437&lt;&gt;F437,0)</f>
        <v/>
      </c>
      <c r="K437" s="13" t="str">
        <f aca="false">_xlfn.IFS(G437="","",N437=G437,1,N437&lt;&gt;G437,0)</f>
        <v/>
      </c>
      <c r="L437" s="3"/>
      <c r="M437" s="3" t="s">
        <v>105</v>
      </c>
      <c r="N437" s="3" t="s">
        <v>61</v>
      </c>
    </row>
    <row r="438" customFormat="false" ht="13.8" hidden="false" customHeight="false" outlineLevel="0" collapsed="false">
      <c r="A438" s="3" t="n">
        <v>437</v>
      </c>
      <c r="B438" s="3" t="s">
        <v>668</v>
      </c>
      <c r="C438" s="3" t="s">
        <v>105</v>
      </c>
      <c r="D438" s="3" t="s">
        <v>61</v>
      </c>
      <c r="E438" s="25" t="s">
        <v>482</v>
      </c>
      <c r="F438" s="3" t="s">
        <v>105</v>
      </c>
      <c r="G438" s="3" t="s">
        <v>61</v>
      </c>
      <c r="J438" s="13" t="n">
        <f aca="false">_xlfn.IFS(F438="","",M438=F438,1,M438&lt;&gt;F438,0)</f>
        <v>1</v>
      </c>
      <c r="K438" s="13" t="n">
        <f aca="false">_xlfn.IFS(G438="","",N438=G438,1,N438&lt;&gt;G438,0)</f>
        <v>1</v>
      </c>
      <c r="L438" s="3"/>
      <c r="M438" s="3" t="s">
        <v>105</v>
      </c>
      <c r="N438" s="3" t="s">
        <v>61</v>
      </c>
    </row>
    <row r="439" customFormat="false" ht="13.8" hidden="false" customHeight="false" outlineLevel="0" collapsed="false">
      <c r="A439" s="3" t="n">
        <v>438</v>
      </c>
      <c r="B439" s="3" t="s">
        <v>663</v>
      </c>
      <c r="C439" s="3" t="s">
        <v>105</v>
      </c>
      <c r="D439" s="3" t="s">
        <v>61</v>
      </c>
      <c r="E439" s="25" t="s">
        <v>891</v>
      </c>
      <c r="F439" s="3" t="s">
        <v>164</v>
      </c>
      <c r="G439" s="3" t="s">
        <v>154</v>
      </c>
      <c r="J439" s="13" t="n">
        <f aca="false">_xlfn.IFS(F439="","",M439=F439,1,M439&lt;&gt;F439,0)</f>
        <v>0</v>
      </c>
      <c r="K439" s="13" t="n">
        <f aca="false">_xlfn.IFS(G439="","",N439=G439,1,N439&lt;&gt;G439,0)</f>
        <v>0</v>
      </c>
      <c r="L439" s="3"/>
      <c r="M439" s="3" t="s">
        <v>105</v>
      </c>
      <c r="N439" s="3" t="s">
        <v>61</v>
      </c>
    </row>
    <row r="440" customFormat="false" ht="13.8" hidden="false" customHeight="false" outlineLevel="0" collapsed="false">
      <c r="A440" s="3" t="n">
        <v>439</v>
      </c>
      <c r="B440" s="3" t="s">
        <v>622</v>
      </c>
      <c r="C440" s="3" t="s">
        <v>105</v>
      </c>
      <c r="D440" s="3" t="s">
        <v>61</v>
      </c>
      <c r="E440" s="25" t="s">
        <v>891</v>
      </c>
      <c r="F440" s="3" t="s">
        <v>164</v>
      </c>
      <c r="G440" s="3" t="s">
        <v>154</v>
      </c>
      <c r="J440" s="13" t="n">
        <f aca="false">_xlfn.IFS(F440="","",M440=F440,1,M440&lt;&gt;F440,0)</f>
        <v>0</v>
      </c>
      <c r="K440" s="13" t="n">
        <f aca="false">_xlfn.IFS(G440="","",N440=G440,1,N440&lt;&gt;G440,0)</f>
        <v>0</v>
      </c>
      <c r="L440" s="3"/>
      <c r="M440" s="3" t="s">
        <v>105</v>
      </c>
      <c r="N440" s="3" t="s">
        <v>61</v>
      </c>
    </row>
    <row r="441" customFormat="false" ht="13.8" hidden="false" customHeight="false" outlineLevel="0" collapsed="false">
      <c r="A441" s="3" t="n">
        <v>440</v>
      </c>
      <c r="B441" s="3" t="s">
        <v>692</v>
      </c>
      <c r="C441" s="3" t="s">
        <v>105</v>
      </c>
      <c r="D441" s="3" t="s">
        <v>77</v>
      </c>
      <c r="E441" s="25" t="s">
        <v>896</v>
      </c>
      <c r="F441" s="3"/>
      <c r="G441" s="3"/>
      <c r="J441" s="13" t="str">
        <f aca="false">_xlfn.IFS(F441="","",M441=F441,1,M441&lt;&gt;F441,0)</f>
        <v/>
      </c>
      <c r="K441" s="13" t="str">
        <f aca="false">_xlfn.IFS(G441="","",N441=G441,1,N441&lt;&gt;G441,0)</f>
        <v/>
      </c>
      <c r="L441" s="3"/>
      <c r="M441" s="3" t="s">
        <v>105</v>
      </c>
      <c r="N441" s="3" t="s">
        <v>894</v>
      </c>
    </row>
    <row r="442" customFormat="false" ht="13.8" hidden="false" customHeight="false" outlineLevel="0" collapsed="false">
      <c r="A442" s="3" t="n">
        <v>441</v>
      </c>
      <c r="B442" s="3" t="s">
        <v>851</v>
      </c>
      <c r="C442" s="3" t="s">
        <v>143</v>
      </c>
      <c r="D442" s="3" t="s">
        <v>288</v>
      </c>
      <c r="E442" s="25" t="s">
        <v>482</v>
      </c>
      <c r="F442" s="3" t="s">
        <v>105</v>
      </c>
      <c r="G442" s="3" t="s">
        <v>61</v>
      </c>
      <c r="J442" s="13"/>
      <c r="K442" s="13"/>
      <c r="L442" s="3" t="s">
        <v>257</v>
      </c>
      <c r="M442" s="3" t="s">
        <v>143</v>
      </c>
      <c r="N442" s="3" t="s">
        <v>288</v>
      </c>
    </row>
    <row r="443" customFormat="false" ht="13.8" hidden="false" customHeight="false" outlineLevel="0" collapsed="false">
      <c r="A443" s="3" t="n">
        <v>442</v>
      </c>
      <c r="B443" s="3" t="s">
        <v>441</v>
      </c>
      <c r="C443" s="3" t="s">
        <v>143</v>
      </c>
      <c r="D443" s="3" t="s">
        <v>198</v>
      </c>
      <c r="E443" s="25" t="s">
        <v>896</v>
      </c>
      <c r="F443" s="3"/>
      <c r="G443" s="3"/>
      <c r="J443" s="13"/>
      <c r="K443" s="13"/>
      <c r="L443" s="3" t="s">
        <v>257</v>
      </c>
      <c r="M443" s="3" t="s">
        <v>143</v>
      </c>
      <c r="N443" s="3" t="s">
        <v>198</v>
      </c>
    </row>
    <row r="444" customFormat="false" ht="13.8" hidden="false" customHeight="false" outlineLevel="0" collapsed="false">
      <c r="A444" s="3" t="n">
        <v>443</v>
      </c>
      <c r="B444" s="3" t="s">
        <v>543</v>
      </c>
      <c r="C444" s="3" t="s">
        <v>143</v>
      </c>
      <c r="D444" s="3" t="s">
        <v>351</v>
      </c>
      <c r="E444" s="25" t="s">
        <v>482</v>
      </c>
      <c r="F444" s="3" t="s">
        <v>105</v>
      </c>
      <c r="G444" s="3" t="s">
        <v>61</v>
      </c>
      <c r="J444" s="13"/>
      <c r="K444" s="13"/>
      <c r="L444" s="3" t="s">
        <v>257</v>
      </c>
      <c r="M444" s="3" t="s">
        <v>143</v>
      </c>
      <c r="N444" s="3" t="s">
        <v>351</v>
      </c>
    </row>
    <row r="445" customFormat="false" ht="13.8" hidden="false" customHeight="false" outlineLevel="0" collapsed="false">
      <c r="A445" s="3" t="n">
        <v>444</v>
      </c>
      <c r="B445" s="3" t="s">
        <v>538</v>
      </c>
      <c r="C445" s="3" t="s">
        <v>105</v>
      </c>
      <c r="D445" s="3" t="s">
        <v>61</v>
      </c>
      <c r="E445" s="25" t="s">
        <v>896</v>
      </c>
      <c r="F445" s="3"/>
      <c r="G445" s="3"/>
      <c r="J445" s="13" t="str">
        <f aca="false">_xlfn.IFS(F445="","",M445=F445,1,M445&lt;&gt;F445,0)</f>
        <v/>
      </c>
      <c r="K445" s="13" t="str">
        <f aca="false">_xlfn.IFS(G445="","",N445=G445,1,N445&lt;&gt;G445,0)</f>
        <v/>
      </c>
      <c r="L445" s="3"/>
      <c r="M445" s="3" t="s">
        <v>105</v>
      </c>
      <c r="N445" s="3" t="s">
        <v>61</v>
      </c>
    </row>
    <row r="446" customFormat="false" ht="13.8" hidden="false" customHeight="false" outlineLevel="0" collapsed="false">
      <c r="A446" s="3" t="n">
        <v>445</v>
      </c>
      <c r="B446" s="3" t="s">
        <v>794</v>
      </c>
      <c r="C446" s="3" t="s">
        <v>105</v>
      </c>
      <c r="D446" s="3" t="s">
        <v>61</v>
      </c>
      <c r="E446" s="25" t="s">
        <v>891</v>
      </c>
      <c r="F446" s="3" t="s">
        <v>164</v>
      </c>
      <c r="G446" s="3" t="s">
        <v>154</v>
      </c>
      <c r="J446" s="13" t="n">
        <f aca="false">_xlfn.IFS(F446="","",M446=F446,1,M446&lt;&gt;F446,0)</f>
        <v>0</v>
      </c>
      <c r="K446" s="13" t="n">
        <f aca="false">_xlfn.IFS(G446="","",N446=G446,1,N446&lt;&gt;G446,0)</f>
        <v>0</v>
      </c>
      <c r="L446" s="3"/>
      <c r="M446" s="3" t="s">
        <v>105</v>
      </c>
      <c r="N446" s="3" t="s">
        <v>61</v>
      </c>
    </row>
    <row r="447" customFormat="false" ht="13.8" hidden="false" customHeight="false" outlineLevel="0" collapsed="false">
      <c r="A447" s="3" t="n">
        <v>446</v>
      </c>
      <c r="B447" s="3" t="s">
        <v>514</v>
      </c>
      <c r="C447" s="3" t="s">
        <v>105</v>
      </c>
      <c r="D447" s="3" t="s">
        <v>77</v>
      </c>
      <c r="E447" s="25" t="s">
        <v>482</v>
      </c>
      <c r="F447" s="3" t="s">
        <v>105</v>
      </c>
      <c r="G447" s="3" t="s">
        <v>61</v>
      </c>
      <c r="J447" s="13" t="n">
        <f aca="false">_xlfn.IFS(F447="","",M447=F447,1,M447&lt;&gt;F447,0)</f>
        <v>1</v>
      </c>
      <c r="K447" s="13" t="n">
        <f aca="false">_xlfn.IFS(G447="","",N447=G447,1,N447&lt;&gt;G447,0)</f>
        <v>0</v>
      </c>
      <c r="L447" s="3"/>
      <c r="M447" s="3" t="s">
        <v>105</v>
      </c>
      <c r="N447" s="3" t="s">
        <v>894</v>
      </c>
    </row>
    <row r="448" customFormat="false" ht="13.8" hidden="false" customHeight="false" outlineLevel="0" collapsed="false">
      <c r="A448" s="3" t="n">
        <v>447</v>
      </c>
      <c r="B448" s="3" t="s">
        <v>522</v>
      </c>
      <c r="C448" s="3" t="s">
        <v>105</v>
      </c>
      <c r="D448" s="3" t="s">
        <v>61</v>
      </c>
      <c r="E448" s="25" t="s">
        <v>896</v>
      </c>
      <c r="F448" s="3"/>
      <c r="G448" s="3"/>
      <c r="J448" s="13" t="str">
        <f aca="false">_xlfn.IFS(F448="","",M448=F448,1,M448&lt;&gt;F448,0)</f>
        <v/>
      </c>
      <c r="K448" s="13" t="str">
        <f aca="false">_xlfn.IFS(G448="","",N448=G448,1,N448&lt;&gt;G448,0)</f>
        <v/>
      </c>
      <c r="L448" s="3"/>
      <c r="M448" s="3" t="s">
        <v>105</v>
      </c>
      <c r="N448" s="3" t="s">
        <v>61</v>
      </c>
    </row>
    <row r="449" customFormat="false" ht="13.8" hidden="false" customHeight="false" outlineLevel="0" collapsed="false">
      <c r="A449" s="3" t="n">
        <v>448</v>
      </c>
      <c r="B449" s="3" t="s">
        <v>506</v>
      </c>
      <c r="C449" s="3" t="s">
        <v>105</v>
      </c>
      <c r="D449" s="3" t="s">
        <v>61</v>
      </c>
      <c r="E449" s="25" t="s">
        <v>482</v>
      </c>
      <c r="F449" s="3" t="s">
        <v>105</v>
      </c>
      <c r="G449" s="3" t="s">
        <v>61</v>
      </c>
      <c r="J449" s="13" t="n">
        <f aca="false">_xlfn.IFS(F449="","",M449=F449,1,M449&lt;&gt;F449,0)</f>
        <v>1</v>
      </c>
      <c r="K449" s="13" t="n">
        <f aca="false">_xlfn.IFS(G449="","",N449=G449,1,N449&lt;&gt;G449,0)</f>
        <v>1</v>
      </c>
      <c r="L449" s="3"/>
      <c r="M449" s="3" t="s">
        <v>105</v>
      </c>
      <c r="N449" s="3" t="s">
        <v>61</v>
      </c>
    </row>
    <row r="450" customFormat="false" ht="13.8" hidden="false" customHeight="false" outlineLevel="0" collapsed="false">
      <c r="A450" s="3" t="n">
        <v>449</v>
      </c>
      <c r="B450" s="3" t="s">
        <v>509</v>
      </c>
      <c r="C450" s="3" t="s">
        <v>143</v>
      </c>
      <c r="D450" s="3" t="s">
        <v>256</v>
      </c>
      <c r="E450" s="25" t="s">
        <v>482</v>
      </c>
      <c r="F450" s="3" t="s">
        <v>105</v>
      </c>
      <c r="G450" s="3" t="s">
        <v>61</v>
      </c>
      <c r="J450" s="13"/>
      <c r="K450" s="13"/>
      <c r="L450" s="3" t="s">
        <v>257</v>
      </c>
      <c r="M450" s="3" t="s">
        <v>143</v>
      </c>
      <c r="N450" s="3" t="s">
        <v>256</v>
      </c>
    </row>
    <row r="451" customFormat="false" ht="13.8" hidden="false" customHeight="false" outlineLevel="0" collapsed="false">
      <c r="A451" s="3" t="n">
        <v>450</v>
      </c>
      <c r="B451" s="3" t="s">
        <v>296</v>
      </c>
      <c r="C451" s="3" t="s">
        <v>105</v>
      </c>
      <c r="D451" s="3" t="s">
        <v>61</v>
      </c>
      <c r="E451" s="25" t="s">
        <v>896</v>
      </c>
      <c r="F451" s="3"/>
      <c r="G451" s="3"/>
      <c r="J451" s="13" t="str">
        <f aca="false">_xlfn.IFS(F451="","",M451=F451,1,M451&lt;&gt;F451,0)</f>
        <v/>
      </c>
      <c r="K451" s="13" t="str">
        <f aca="false">_xlfn.IFS(G451="","",N451=G451,1,N451&lt;&gt;G451,0)</f>
        <v/>
      </c>
      <c r="L451" s="3"/>
      <c r="M451" s="3" t="s">
        <v>105</v>
      </c>
      <c r="N451" s="3" t="s">
        <v>61</v>
      </c>
    </row>
    <row r="452" customFormat="false" ht="13.8" hidden="false" customHeight="false" outlineLevel="0" collapsed="false">
      <c r="A452" s="3" t="n">
        <v>451</v>
      </c>
      <c r="B452" s="3" t="s">
        <v>340</v>
      </c>
      <c r="C452" s="3" t="s">
        <v>105</v>
      </c>
      <c r="D452" s="3" t="s">
        <v>61</v>
      </c>
      <c r="E452" s="25" t="s">
        <v>896</v>
      </c>
      <c r="F452" s="3"/>
      <c r="G452" s="3"/>
      <c r="J452" s="13" t="str">
        <f aca="false">_xlfn.IFS(F452="","",M452=F452,1,M452&lt;&gt;F452,0)</f>
        <v/>
      </c>
      <c r="K452" s="13" t="str">
        <f aca="false">_xlfn.IFS(G452="","",N452=G452,1,N452&lt;&gt;G452,0)</f>
        <v/>
      </c>
      <c r="L452" s="3"/>
      <c r="M452" s="3" t="s">
        <v>105</v>
      </c>
      <c r="N452" s="3" t="s">
        <v>61</v>
      </c>
    </row>
    <row r="453" customFormat="false" ht="13.8" hidden="false" customHeight="false" outlineLevel="0" collapsed="false">
      <c r="A453" s="3" t="n">
        <v>452</v>
      </c>
      <c r="B453" s="3" t="s">
        <v>369</v>
      </c>
      <c r="C453" s="3" t="s">
        <v>105</v>
      </c>
      <c r="D453" s="3" t="s">
        <v>61</v>
      </c>
      <c r="E453" s="25" t="s">
        <v>891</v>
      </c>
      <c r="F453" s="3" t="s">
        <v>164</v>
      </c>
      <c r="G453" s="3" t="s">
        <v>154</v>
      </c>
      <c r="J453" s="13" t="n">
        <f aca="false">_xlfn.IFS(F453="","",M453=F453,1,M453&lt;&gt;F453,0)</f>
        <v>0</v>
      </c>
      <c r="K453" s="13" t="n">
        <f aca="false">_xlfn.IFS(G453="","",N453=G453,1,N453&lt;&gt;G453,0)</f>
        <v>0</v>
      </c>
      <c r="L453" s="3"/>
      <c r="M453" s="3" t="s">
        <v>105</v>
      </c>
      <c r="N453" s="3" t="s">
        <v>61</v>
      </c>
    </row>
    <row r="454" customFormat="false" ht="13.8" hidden="false" customHeight="false" outlineLevel="0" collapsed="false">
      <c r="A454" s="3" t="n">
        <v>453</v>
      </c>
      <c r="B454" s="3" t="s">
        <v>401</v>
      </c>
      <c r="C454" s="3" t="s">
        <v>105</v>
      </c>
      <c r="D454" s="3" t="s">
        <v>61</v>
      </c>
      <c r="E454" s="25" t="s">
        <v>896</v>
      </c>
      <c r="F454" s="3"/>
      <c r="G454" s="3"/>
      <c r="J454" s="13" t="str">
        <f aca="false">_xlfn.IFS(F454="","",M454=F454,1,M454&lt;&gt;F454,0)</f>
        <v/>
      </c>
      <c r="K454" s="13" t="str">
        <f aca="false">_xlfn.IFS(G454="","",N454=G454,1,N454&lt;&gt;G454,0)</f>
        <v/>
      </c>
      <c r="L454" s="3"/>
      <c r="M454" s="3" t="s">
        <v>105</v>
      </c>
      <c r="N454" s="3" t="s">
        <v>61</v>
      </c>
    </row>
    <row r="455" customFormat="false" ht="13.8" hidden="false" customHeight="false" outlineLevel="0" collapsed="false">
      <c r="A455" s="3" t="n">
        <v>454</v>
      </c>
      <c r="B455" s="3" t="s">
        <v>297</v>
      </c>
      <c r="C455" s="3" t="s">
        <v>143</v>
      </c>
      <c r="D455" s="3" t="s">
        <v>256</v>
      </c>
      <c r="E455" s="25" t="s">
        <v>482</v>
      </c>
      <c r="F455" s="3" t="s">
        <v>105</v>
      </c>
      <c r="G455" s="3" t="s">
        <v>894</v>
      </c>
      <c r="J455" s="13"/>
      <c r="K455" s="13"/>
      <c r="L455" s="3" t="s">
        <v>257</v>
      </c>
      <c r="M455" s="3" t="s">
        <v>143</v>
      </c>
      <c r="N455" s="3" t="s">
        <v>256</v>
      </c>
    </row>
    <row r="456" customFormat="false" ht="13.8" hidden="false" customHeight="false" outlineLevel="0" collapsed="false">
      <c r="A456" s="3" t="n">
        <v>455</v>
      </c>
      <c r="B456" s="3" t="s">
        <v>689</v>
      </c>
      <c r="C456" s="3" t="s">
        <v>105</v>
      </c>
      <c r="D456" s="3" t="s">
        <v>61</v>
      </c>
      <c r="E456" s="25" t="s">
        <v>482</v>
      </c>
      <c r="F456" s="3" t="s">
        <v>81</v>
      </c>
      <c r="G456" s="3"/>
      <c r="J456" s="13" t="n">
        <f aca="false">_xlfn.IFS(F456="","",M456=F456,1,M456&lt;&gt;F456,0)</f>
        <v>0</v>
      </c>
      <c r="K456" s="13" t="str">
        <f aca="false">_xlfn.IFS(G456="","",N456=G456,1,N456&lt;&gt;G456,0)</f>
        <v/>
      </c>
      <c r="L456" s="3"/>
      <c r="M456" s="3" t="s">
        <v>105</v>
      </c>
      <c r="N456" s="3" t="s">
        <v>61</v>
      </c>
    </row>
    <row r="457" customFormat="false" ht="13.8" hidden="false" customHeight="false" outlineLevel="0" collapsed="false">
      <c r="A457" s="3" t="n">
        <v>456</v>
      </c>
      <c r="B457" s="3" t="s">
        <v>660</v>
      </c>
      <c r="C457" s="3" t="s">
        <v>105</v>
      </c>
      <c r="D457" s="3" t="s">
        <v>61</v>
      </c>
      <c r="E457" s="25" t="s">
        <v>891</v>
      </c>
      <c r="F457" s="3" t="s">
        <v>164</v>
      </c>
      <c r="G457" s="3" t="s">
        <v>63</v>
      </c>
      <c r="J457" s="13" t="n">
        <f aca="false">_xlfn.IFS(F457="","",M457=F457,1,M457&lt;&gt;F457,0)</f>
        <v>0</v>
      </c>
      <c r="K457" s="13" t="n">
        <f aca="false">_xlfn.IFS(G457="","",N457=G457,1,N457&lt;&gt;G457,0)</f>
        <v>0</v>
      </c>
      <c r="L457" s="3"/>
      <c r="M457" s="3" t="s">
        <v>105</v>
      </c>
      <c r="N457" s="3" t="s">
        <v>61</v>
      </c>
    </row>
    <row r="458" customFormat="false" ht="13.8" hidden="false" customHeight="false" outlineLevel="0" collapsed="false">
      <c r="A458" s="3" t="n">
        <v>457</v>
      </c>
      <c r="B458" s="3" t="s">
        <v>625</v>
      </c>
      <c r="C458" s="3" t="s">
        <v>105</v>
      </c>
      <c r="D458" s="3" t="s">
        <v>77</v>
      </c>
      <c r="E458" s="25" t="s">
        <v>896</v>
      </c>
      <c r="F458" s="3"/>
      <c r="G458" s="3"/>
      <c r="J458" s="13" t="str">
        <f aca="false">_xlfn.IFS(F458="","",M458=F458,1,M458&lt;&gt;F458,0)</f>
        <v/>
      </c>
      <c r="K458" s="13" t="str">
        <f aca="false">_xlfn.IFS(G458="","",N458=G458,1,N458&lt;&gt;G458,0)</f>
        <v/>
      </c>
      <c r="L458" s="3"/>
      <c r="M458" s="3" t="s">
        <v>105</v>
      </c>
      <c r="N458" s="3" t="s">
        <v>894</v>
      </c>
    </row>
    <row r="459" customFormat="false" ht="13.8" hidden="false" customHeight="false" outlineLevel="0" collapsed="false">
      <c r="A459" s="3" t="n">
        <v>458</v>
      </c>
      <c r="B459" s="3" t="s">
        <v>541</v>
      </c>
      <c r="C459" s="3" t="s">
        <v>143</v>
      </c>
      <c r="D459" s="3" t="s">
        <v>198</v>
      </c>
      <c r="E459" s="25" t="s">
        <v>482</v>
      </c>
      <c r="F459" s="3" t="s">
        <v>81</v>
      </c>
      <c r="G459" s="3"/>
      <c r="J459" s="13"/>
      <c r="K459" s="13"/>
      <c r="L459" s="3" t="s">
        <v>257</v>
      </c>
      <c r="M459" s="3" t="s">
        <v>143</v>
      </c>
      <c r="N459" s="3" t="s">
        <v>198</v>
      </c>
    </row>
    <row r="460" customFormat="false" ht="13.8" hidden="false" customHeight="false" outlineLevel="0" collapsed="false">
      <c r="A460" s="3" t="n">
        <v>459</v>
      </c>
      <c r="B460" s="3" t="s">
        <v>502</v>
      </c>
      <c r="C460" s="3" t="s">
        <v>105</v>
      </c>
      <c r="D460" s="3" t="s">
        <v>61</v>
      </c>
      <c r="E460" s="25" t="s">
        <v>896</v>
      </c>
      <c r="F460" s="3"/>
      <c r="G460" s="3"/>
      <c r="J460" s="13" t="str">
        <f aca="false">_xlfn.IFS(F460="","",M460=F460,1,M460&lt;&gt;F460,0)</f>
        <v/>
      </c>
      <c r="K460" s="13" t="str">
        <f aca="false">_xlfn.IFS(G460="","",N460=G460,1,N460&lt;&gt;G460,0)</f>
        <v/>
      </c>
      <c r="L460" s="3"/>
      <c r="M460" s="3" t="s">
        <v>105</v>
      </c>
      <c r="N460" s="3" t="s">
        <v>61</v>
      </c>
    </row>
    <row r="461" customFormat="false" ht="13.8" hidden="false" customHeight="false" outlineLevel="0" collapsed="false">
      <c r="A461" s="3" t="n">
        <v>460</v>
      </c>
      <c r="B461" s="3" t="s">
        <v>298</v>
      </c>
      <c r="C461" s="3" t="s">
        <v>105</v>
      </c>
      <c r="D461" s="3" t="s">
        <v>55</v>
      </c>
      <c r="E461" s="25" t="s">
        <v>891</v>
      </c>
      <c r="F461" s="3" t="s">
        <v>164</v>
      </c>
      <c r="G461" s="3" t="s">
        <v>154</v>
      </c>
      <c r="J461" s="13" t="n">
        <f aca="false">_xlfn.IFS(F461="","",M461=F461,1,M461&lt;&gt;F461,0)</f>
        <v>0</v>
      </c>
      <c r="K461" s="13" t="n">
        <f aca="false">_xlfn.IFS(G461="","",N461=G461,1,N461&lt;&gt;G461,0)</f>
        <v>0</v>
      </c>
      <c r="L461" s="3"/>
      <c r="M461" s="3" t="s">
        <v>105</v>
      </c>
      <c r="N461" s="3" t="s">
        <v>55</v>
      </c>
    </row>
    <row r="462" customFormat="false" ht="13.8" hidden="false" customHeight="false" outlineLevel="0" collapsed="false">
      <c r="A462" s="3" t="n">
        <v>461</v>
      </c>
      <c r="B462" s="3" t="s">
        <v>694</v>
      </c>
      <c r="C462" s="3" t="s">
        <v>143</v>
      </c>
      <c r="D462" s="3" t="s">
        <v>288</v>
      </c>
      <c r="E462" s="25" t="s">
        <v>891</v>
      </c>
      <c r="F462" s="3" t="s">
        <v>164</v>
      </c>
      <c r="G462" s="3" t="s">
        <v>63</v>
      </c>
      <c r="J462" s="13"/>
      <c r="K462" s="13"/>
      <c r="L462" s="3" t="s">
        <v>257</v>
      </c>
      <c r="M462" s="3" t="s">
        <v>143</v>
      </c>
      <c r="N462" s="3" t="s">
        <v>288</v>
      </c>
    </row>
    <row r="463" customFormat="false" ht="13.8" hidden="false" customHeight="false" outlineLevel="0" collapsed="false">
      <c r="A463" s="3" t="n">
        <v>462</v>
      </c>
      <c r="B463" s="3" t="s">
        <v>775</v>
      </c>
      <c r="C463" s="3" t="s">
        <v>105</v>
      </c>
      <c r="D463" s="3" t="s">
        <v>61</v>
      </c>
      <c r="E463" s="25" t="s">
        <v>896</v>
      </c>
      <c r="F463" s="3"/>
      <c r="G463" s="3"/>
      <c r="J463" s="13" t="str">
        <f aca="false">_xlfn.IFS(F463="","",M463=F463,1,M463&lt;&gt;F463,0)</f>
        <v/>
      </c>
      <c r="K463" s="13" t="str">
        <f aca="false">_xlfn.IFS(G463="","",N463=G463,1,N463&lt;&gt;G463,0)</f>
        <v/>
      </c>
      <c r="L463" s="3"/>
      <c r="M463" s="3" t="s">
        <v>105</v>
      </c>
      <c r="N463" s="3" t="s">
        <v>61</v>
      </c>
    </row>
    <row r="464" customFormat="false" ht="13.8" hidden="false" customHeight="false" outlineLevel="0" collapsed="false">
      <c r="A464" s="3" t="n">
        <v>463</v>
      </c>
      <c r="B464" s="3" t="s">
        <v>396</v>
      </c>
      <c r="C464" s="3" t="s">
        <v>150</v>
      </c>
      <c r="D464" s="3" t="s">
        <v>75</v>
      </c>
      <c r="E464" s="25" t="s">
        <v>896</v>
      </c>
      <c r="F464" s="3"/>
      <c r="G464" s="3"/>
      <c r="J464" s="13"/>
      <c r="K464" s="13"/>
      <c r="L464" s="3" t="s">
        <v>257</v>
      </c>
      <c r="M464" s="3" t="s">
        <v>164</v>
      </c>
      <c r="N464" s="3" t="s">
        <v>75</v>
      </c>
    </row>
    <row r="465" customFormat="false" ht="13.8" hidden="false" customHeight="false" outlineLevel="0" collapsed="false">
      <c r="A465" s="3" t="n">
        <v>464</v>
      </c>
      <c r="B465" s="3" t="s">
        <v>414</v>
      </c>
      <c r="C465" s="3" t="s">
        <v>150</v>
      </c>
      <c r="D465" s="3" t="s">
        <v>415</v>
      </c>
      <c r="E465" s="25" t="s">
        <v>891</v>
      </c>
      <c r="F465" s="3" t="s">
        <v>164</v>
      </c>
      <c r="G465" s="3" t="s">
        <v>63</v>
      </c>
      <c r="J465" s="13" t="n">
        <f aca="false">_xlfn.IFS(F465="","",M465=F465,1,M465&lt;&gt;F465,0)</f>
        <v>1</v>
      </c>
      <c r="K465" s="13" t="n">
        <f aca="false">_xlfn.IFS(G465="","",N465=G465,1,N465&lt;&gt;G465,0)</f>
        <v>0</v>
      </c>
      <c r="L465" s="3"/>
      <c r="M465" s="3" t="s">
        <v>164</v>
      </c>
      <c r="N465" s="3" t="s">
        <v>899</v>
      </c>
    </row>
    <row r="466" customFormat="false" ht="13.8" hidden="false" customHeight="false" outlineLevel="0" collapsed="false">
      <c r="A466" s="3" t="n">
        <v>465</v>
      </c>
      <c r="B466" s="3" t="s">
        <v>790</v>
      </c>
      <c r="C466" s="3" t="s">
        <v>105</v>
      </c>
      <c r="D466" s="3" t="s">
        <v>61</v>
      </c>
      <c r="E466" s="25" t="s">
        <v>891</v>
      </c>
      <c r="F466" s="3" t="s">
        <v>164</v>
      </c>
      <c r="G466" s="3" t="s">
        <v>154</v>
      </c>
      <c r="J466" s="13" t="n">
        <f aca="false">_xlfn.IFS(F466="","",M466=F466,1,M466&lt;&gt;F466,0)</f>
        <v>0</v>
      </c>
      <c r="K466" s="13" t="n">
        <f aca="false">_xlfn.IFS(G466="","",N466=G466,1,N466&lt;&gt;G466,0)</f>
        <v>0</v>
      </c>
      <c r="L466" s="3"/>
      <c r="M466" s="3" t="s">
        <v>105</v>
      </c>
      <c r="N466" s="3" t="s">
        <v>61</v>
      </c>
    </row>
    <row r="467" customFormat="false" ht="13.8" hidden="false" customHeight="false" outlineLevel="0" collapsed="false">
      <c r="A467" s="3" t="n">
        <v>466</v>
      </c>
      <c r="B467" s="3" t="s">
        <v>299</v>
      </c>
      <c r="C467" s="3" t="s">
        <v>143</v>
      </c>
      <c r="D467" s="3" t="s">
        <v>198</v>
      </c>
      <c r="E467" s="25" t="s">
        <v>896</v>
      </c>
      <c r="F467" s="3"/>
      <c r="G467" s="3"/>
      <c r="J467" s="13"/>
      <c r="K467" s="13"/>
      <c r="L467" s="3" t="s">
        <v>257</v>
      </c>
      <c r="M467" s="3" t="s">
        <v>143</v>
      </c>
      <c r="N467" s="3" t="s">
        <v>198</v>
      </c>
    </row>
    <row r="468" customFormat="false" ht="13.8" hidden="false" customHeight="false" outlineLevel="0" collapsed="false">
      <c r="A468" s="3" t="n">
        <v>467</v>
      </c>
      <c r="B468" s="3" t="s">
        <v>799</v>
      </c>
      <c r="C468" s="3" t="s">
        <v>105</v>
      </c>
      <c r="D468" s="3" t="s">
        <v>61</v>
      </c>
      <c r="E468" s="25" t="s">
        <v>482</v>
      </c>
      <c r="F468" s="3" t="s">
        <v>81</v>
      </c>
      <c r="G468" s="3"/>
      <c r="J468" s="13" t="n">
        <f aca="false">_xlfn.IFS(F468="","",M468=F468,1,M468&lt;&gt;F468,0)</f>
        <v>0</v>
      </c>
      <c r="K468" s="13" t="str">
        <f aca="false">_xlfn.IFS(G468="","",N468=G468,1,N468&lt;&gt;G468,0)</f>
        <v/>
      </c>
      <c r="L468" s="3"/>
      <c r="M468" s="3" t="s">
        <v>105</v>
      </c>
      <c r="N468" s="3" t="s">
        <v>61</v>
      </c>
    </row>
    <row r="469" customFormat="false" ht="13.8" hidden="false" customHeight="false" outlineLevel="0" collapsed="false">
      <c r="A469" s="3" t="n">
        <v>468</v>
      </c>
      <c r="B469" s="3" t="s">
        <v>797</v>
      </c>
      <c r="C469" s="3" t="s">
        <v>105</v>
      </c>
      <c r="D469" s="3" t="s">
        <v>61</v>
      </c>
      <c r="E469" s="25" t="s">
        <v>482</v>
      </c>
      <c r="F469" s="3" t="s">
        <v>105</v>
      </c>
      <c r="G469" s="3" t="s">
        <v>894</v>
      </c>
      <c r="J469" s="13" t="n">
        <f aca="false">_xlfn.IFS(F469="","",M469=F469,1,M469&lt;&gt;F469,0)</f>
        <v>1</v>
      </c>
      <c r="K469" s="13" t="n">
        <f aca="false">_xlfn.IFS(G469="","",N469=G469,1,N469&lt;&gt;G469,0)</f>
        <v>0</v>
      </c>
      <c r="L469" s="3"/>
      <c r="M469" s="3" t="s">
        <v>105</v>
      </c>
      <c r="N469" s="3" t="s">
        <v>61</v>
      </c>
    </row>
    <row r="470" customFormat="false" ht="13.8" hidden="false" customHeight="false" outlineLevel="0" collapsed="false">
      <c r="A470" s="3" t="n">
        <v>469</v>
      </c>
      <c r="B470" s="3" t="s">
        <v>795</v>
      </c>
      <c r="C470" s="3" t="s">
        <v>105</v>
      </c>
      <c r="D470" s="3" t="s">
        <v>61</v>
      </c>
      <c r="E470" s="25" t="s">
        <v>482</v>
      </c>
      <c r="F470" s="3" t="s">
        <v>81</v>
      </c>
      <c r="G470" s="3"/>
      <c r="J470" s="13" t="n">
        <f aca="false">_xlfn.IFS(F470="","",M470=F470,1,M470&lt;&gt;F470,0)</f>
        <v>0</v>
      </c>
      <c r="K470" s="13" t="str">
        <f aca="false">_xlfn.IFS(G470="","",N470=G470,1,N470&lt;&gt;G470,0)</f>
        <v/>
      </c>
      <c r="L470" s="3"/>
      <c r="M470" s="3" t="s">
        <v>105</v>
      </c>
      <c r="N470" s="3" t="s">
        <v>61</v>
      </c>
    </row>
    <row r="471" customFormat="false" ht="13.8" hidden="false" customHeight="false" outlineLevel="0" collapsed="false">
      <c r="A471" s="3" t="n">
        <v>470</v>
      </c>
      <c r="B471" s="3" t="s">
        <v>757</v>
      </c>
      <c r="C471" s="3" t="s">
        <v>105</v>
      </c>
      <c r="D471" s="3" t="s">
        <v>61</v>
      </c>
      <c r="E471" s="25" t="s">
        <v>896</v>
      </c>
      <c r="F471" s="3"/>
      <c r="G471" s="3"/>
      <c r="J471" s="13" t="str">
        <f aca="false">_xlfn.IFS(F471="","",M471=F471,1,M471&lt;&gt;F471,0)</f>
        <v/>
      </c>
      <c r="K471" s="13" t="str">
        <f aca="false">_xlfn.IFS(G471="","",N471=G471,1,N471&lt;&gt;G471,0)</f>
        <v/>
      </c>
      <c r="L471" s="3"/>
      <c r="M471" s="3" t="s">
        <v>105</v>
      </c>
      <c r="N471" s="3" t="s">
        <v>61</v>
      </c>
    </row>
    <row r="472" customFormat="false" ht="13.8" hidden="false" customHeight="false" outlineLevel="0" collapsed="false">
      <c r="A472" s="3" t="n">
        <v>471</v>
      </c>
      <c r="B472" s="3" t="s">
        <v>699</v>
      </c>
      <c r="C472" s="3" t="s">
        <v>150</v>
      </c>
      <c r="D472" s="3" t="s">
        <v>245</v>
      </c>
      <c r="E472" s="25" t="s">
        <v>482</v>
      </c>
      <c r="F472" s="3" t="s">
        <v>81</v>
      </c>
      <c r="G472" s="3"/>
      <c r="J472" s="13" t="n">
        <f aca="false">_xlfn.IFS(F472="","",M472=F472,1,M472&lt;&gt;F472,0)</f>
        <v>0</v>
      </c>
      <c r="K472" s="13" t="str">
        <f aca="false">_xlfn.IFS(G472="","",N472=G472,1,N472&lt;&gt;G472,0)</f>
        <v/>
      </c>
      <c r="L472" s="3"/>
      <c r="M472" s="3" t="s">
        <v>164</v>
      </c>
      <c r="N472" s="3" t="s">
        <v>899</v>
      </c>
    </row>
    <row r="473" customFormat="false" ht="13.8" hidden="false" customHeight="false" outlineLevel="0" collapsed="false">
      <c r="A473" s="3" t="n">
        <v>472</v>
      </c>
      <c r="B473" s="3" t="s">
        <v>574</v>
      </c>
      <c r="C473" s="3" t="s">
        <v>105</v>
      </c>
      <c r="D473" s="3" t="s">
        <v>61</v>
      </c>
      <c r="E473" s="25" t="s">
        <v>896</v>
      </c>
      <c r="F473" s="3"/>
      <c r="G473" s="3"/>
      <c r="J473" s="13" t="str">
        <f aca="false">_xlfn.IFS(F473="","",M473=F473,1,M473&lt;&gt;F473,0)</f>
        <v/>
      </c>
      <c r="K473" s="13" t="str">
        <f aca="false">_xlfn.IFS(G473="","",N473=G473,1,N473&lt;&gt;G473,0)</f>
        <v/>
      </c>
      <c r="L473" s="3"/>
      <c r="M473" s="3" t="s">
        <v>105</v>
      </c>
      <c r="N473" s="3" t="s">
        <v>61</v>
      </c>
    </row>
    <row r="474" customFormat="false" ht="13.8" hidden="false" customHeight="false" outlineLevel="0" collapsed="false">
      <c r="A474" s="3" t="n">
        <v>473</v>
      </c>
      <c r="B474" s="3" t="s">
        <v>247</v>
      </c>
      <c r="C474" s="3" t="s">
        <v>105</v>
      </c>
      <c r="D474" s="3" t="s">
        <v>77</v>
      </c>
      <c r="E474" s="25" t="s">
        <v>891</v>
      </c>
      <c r="F474" s="3" t="s">
        <v>164</v>
      </c>
      <c r="G474" s="3" t="s">
        <v>63</v>
      </c>
      <c r="J474" s="13" t="n">
        <f aca="false">_xlfn.IFS(F474="","",M474=F474,1,M474&lt;&gt;F474,0)</f>
        <v>0</v>
      </c>
      <c r="K474" s="13" t="n">
        <f aca="false">_xlfn.IFS(G474="","",N474=G474,1,N474&lt;&gt;G474,0)</f>
        <v>0</v>
      </c>
      <c r="L474" s="3"/>
      <c r="M474" s="3" t="s">
        <v>105</v>
      </c>
      <c r="N474" s="3" t="s">
        <v>894</v>
      </c>
    </row>
    <row r="475" customFormat="false" ht="13.8" hidden="false" customHeight="false" outlineLevel="0" collapsed="false">
      <c r="A475" s="3" t="n">
        <v>474</v>
      </c>
      <c r="B475" s="3" t="s">
        <v>480</v>
      </c>
      <c r="C475" s="3" t="s">
        <v>143</v>
      </c>
      <c r="D475" s="3" t="s">
        <v>288</v>
      </c>
      <c r="E475" s="25" t="s">
        <v>891</v>
      </c>
      <c r="F475" s="3" t="s">
        <v>164</v>
      </c>
      <c r="G475" s="3" t="s">
        <v>154</v>
      </c>
      <c r="J475" s="13"/>
      <c r="K475" s="13"/>
      <c r="L475" s="3" t="s">
        <v>257</v>
      </c>
      <c r="M475" s="3" t="s">
        <v>143</v>
      </c>
      <c r="N475" s="3" t="s">
        <v>288</v>
      </c>
    </row>
    <row r="476" customFormat="false" ht="13.8" hidden="false" customHeight="false" outlineLevel="0" collapsed="false">
      <c r="A476" s="3" t="n">
        <v>475</v>
      </c>
      <c r="B476" s="3" t="s">
        <v>838</v>
      </c>
      <c r="C476" s="3" t="s">
        <v>150</v>
      </c>
      <c r="D476" s="3" t="s">
        <v>75</v>
      </c>
      <c r="E476" s="25" t="s">
        <v>891</v>
      </c>
      <c r="F476" s="3" t="s">
        <v>164</v>
      </c>
      <c r="G476" s="3" t="s">
        <v>884</v>
      </c>
      <c r="J476" s="13"/>
      <c r="K476" s="13"/>
      <c r="L476" s="3" t="s">
        <v>257</v>
      </c>
      <c r="M476" s="3" t="s">
        <v>164</v>
      </c>
      <c r="N476" s="3" t="s">
        <v>75</v>
      </c>
    </row>
    <row r="477" customFormat="false" ht="13.8" hidden="false" customHeight="false" outlineLevel="0" collapsed="false">
      <c r="A477" s="3" t="n">
        <v>476</v>
      </c>
      <c r="B477" s="3" t="s">
        <v>612</v>
      </c>
      <c r="C477" s="3" t="s">
        <v>105</v>
      </c>
      <c r="D477" s="3" t="s">
        <v>61</v>
      </c>
      <c r="E477" s="25" t="s">
        <v>891</v>
      </c>
      <c r="F477" s="3" t="s">
        <v>164</v>
      </c>
      <c r="G477" s="3" t="s">
        <v>154</v>
      </c>
      <c r="J477" s="13" t="n">
        <f aca="false">_xlfn.IFS(F477="","",M477=F477,1,M477&lt;&gt;F477,0)</f>
        <v>0</v>
      </c>
      <c r="K477" s="13" t="n">
        <f aca="false">_xlfn.IFS(G477="","",N477=G477,1,N477&lt;&gt;G477,0)</f>
        <v>0</v>
      </c>
      <c r="L477" s="3"/>
      <c r="M477" s="3" t="s">
        <v>105</v>
      </c>
      <c r="N477" s="3" t="s">
        <v>61</v>
      </c>
    </row>
    <row r="478" customFormat="false" ht="13.8" hidden="false" customHeight="false" outlineLevel="0" collapsed="false">
      <c r="A478" s="3" t="n">
        <v>477</v>
      </c>
      <c r="B478" s="3" t="s">
        <v>706</v>
      </c>
      <c r="C478" s="3" t="s">
        <v>105</v>
      </c>
      <c r="D478" s="3" t="s">
        <v>61</v>
      </c>
      <c r="E478" s="25" t="s">
        <v>482</v>
      </c>
      <c r="F478" s="3" t="s">
        <v>143</v>
      </c>
      <c r="G478" s="3" t="s">
        <v>160</v>
      </c>
      <c r="J478" s="13" t="n">
        <f aca="false">_xlfn.IFS(F478="","",M478=F478,1,M478&lt;&gt;F478,0)</f>
        <v>0</v>
      </c>
      <c r="K478" s="13" t="n">
        <f aca="false">_xlfn.IFS(G478="","",N478=G478,1,N478&lt;&gt;G478,0)</f>
        <v>0</v>
      </c>
      <c r="L478" s="3"/>
      <c r="M478" s="3" t="s">
        <v>105</v>
      </c>
      <c r="N478" s="3" t="s">
        <v>61</v>
      </c>
    </row>
    <row r="479" customFormat="false" ht="13.8" hidden="false" customHeight="false" outlineLevel="0" collapsed="false">
      <c r="A479" s="3" t="n">
        <v>478</v>
      </c>
      <c r="B479" s="3" t="s">
        <v>470</v>
      </c>
      <c r="C479" s="3" t="s">
        <v>105</v>
      </c>
      <c r="D479" s="3" t="s">
        <v>61</v>
      </c>
      <c r="E479" s="25" t="s">
        <v>482</v>
      </c>
      <c r="F479" s="3" t="s">
        <v>81</v>
      </c>
      <c r="G479" s="3"/>
      <c r="J479" s="13" t="n">
        <f aca="false">_xlfn.IFS(F479="","",M479=F479,1,M479&lt;&gt;F479,0)</f>
        <v>0</v>
      </c>
      <c r="K479" s="13" t="str">
        <f aca="false">_xlfn.IFS(G479="","",N479=G479,1,N479&lt;&gt;G479,0)</f>
        <v/>
      </c>
      <c r="L479" s="3"/>
      <c r="M479" s="3" t="s">
        <v>105</v>
      </c>
      <c r="N479" s="3" t="s">
        <v>61</v>
      </c>
    </row>
    <row r="480" customFormat="false" ht="13.8" hidden="false" customHeight="false" outlineLevel="0" collapsed="false">
      <c r="A480" s="3" t="n">
        <v>479</v>
      </c>
      <c r="B480" s="3" t="s">
        <v>762</v>
      </c>
      <c r="C480" s="3" t="s">
        <v>143</v>
      </c>
      <c r="D480" s="3" t="s">
        <v>198</v>
      </c>
      <c r="E480" s="25" t="s">
        <v>891</v>
      </c>
      <c r="F480" s="3" t="s">
        <v>164</v>
      </c>
      <c r="G480" s="3" t="s">
        <v>154</v>
      </c>
      <c r="J480" s="13"/>
      <c r="K480" s="13"/>
      <c r="L480" s="3" t="s">
        <v>257</v>
      </c>
      <c r="M480" s="3" t="s">
        <v>143</v>
      </c>
      <c r="N480" s="3" t="s">
        <v>198</v>
      </c>
    </row>
    <row r="481" customFormat="false" ht="13.8" hidden="false" customHeight="false" outlineLevel="0" collapsed="false">
      <c r="A481" s="3" t="n">
        <v>480</v>
      </c>
      <c r="B481" s="3" t="s">
        <v>504</v>
      </c>
      <c r="C481" s="3" t="s">
        <v>143</v>
      </c>
      <c r="D481" s="3" t="s">
        <v>351</v>
      </c>
      <c r="E481" s="25" t="s">
        <v>896</v>
      </c>
      <c r="F481" s="3"/>
      <c r="G481" s="3"/>
      <c r="J481" s="13"/>
      <c r="K481" s="13"/>
      <c r="L481" s="3" t="s">
        <v>257</v>
      </c>
      <c r="M481" s="3" t="s">
        <v>143</v>
      </c>
      <c r="N481" s="3" t="s">
        <v>351</v>
      </c>
    </row>
    <row r="482" customFormat="false" ht="13.8" hidden="false" customHeight="false" outlineLevel="0" collapsed="false">
      <c r="A482" s="3" t="n">
        <v>481</v>
      </c>
      <c r="B482" s="3" t="s">
        <v>558</v>
      </c>
      <c r="C482" s="3" t="s">
        <v>105</v>
      </c>
      <c r="D482" s="3" t="s">
        <v>77</v>
      </c>
      <c r="E482" s="25" t="s">
        <v>482</v>
      </c>
      <c r="F482" s="3" t="s">
        <v>105</v>
      </c>
      <c r="G482" s="3" t="s">
        <v>894</v>
      </c>
      <c r="J482" s="13" t="n">
        <f aca="false">_xlfn.IFS(F482="","",M482=F482,1,M482&lt;&gt;F482,0)</f>
        <v>1</v>
      </c>
      <c r="K482" s="13" t="n">
        <f aca="false">_xlfn.IFS(G482="","",N482=G482,1,N482&lt;&gt;G482,0)</f>
        <v>1</v>
      </c>
      <c r="L482" s="3"/>
      <c r="M482" s="3" t="s">
        <v>105</v>
      </c>
      <c r="N482" s="3" t="s">
        <v>894</v>
      </c>
    </row>
    <row r="483" customFormat="false" ht="13.8" hidden="false" customHeight="false" outlineLevel="0" collapsed="false">
      <c r="A483" s="3" t="n">
        <v>482</v>
      </c>
      <c r="B483" s="3" t="s">
        <v>300</v>
      </c>
      <c r="C483" s="3" t="s">
        <v>105</v>
      </c>
      <c r="D483" s="3" t="s">
        <v>77</v>
      </c>
      <c r="E483" s="25" t="s">
        <v>482</v>
      </c>
      <c r="F483" s="3" t="s">
        <v>105</v>
      </c>
      <c r="G483" s="3" t="s">
        <v>894</v>
      </c>
      <c r="J483" s="13" t="n">
        <f aca="false">_xlfn.IFS(F483="","",M483=F483,1,M483&lt;&gt;F483,0)</f>
        <v>1</v>
      </c>
      <c r="K483" s="13" t="n">
        <f aca="false">_xlfn.IFS(G483="","",N483=G483,1,N483&lt;&gt;G483,0)</f>
        <v>1</v>
      </c>
      <c r="L483" s="3"/>
      <c r="M483" s="3" t="s">
        <v>105</v>
      </c>
      <c r="N483" s="3" t="s">
        <v>894</v>
      </c>
    </row>
    <row r="484" customFormat="false" ht="13.8" hidden="false" customHeight="false" outlineLevel="0" collapsed="false">
      <c r="A484" s="3" t="n">
        <v>483</v>
      </c>
      <c r="B484" s="3" t="s">
        <v>755</v>
      </c>
      <c r="C484" s="3" t="s">
        <v>150</v>
      </c>
      <c r="D484" s="3" t="s">
        <v>75</v>
      </c>
      <c r="E484" s="25" t="s">
        <v>891</v>
      </c>
      <c r="F484" s="3" t="s">
        <v>164</v>
      </c>
      <c r="G484" s="3" t="s">
        <v>884</v>
      </c>
      <c r="J484" s="13"/>
      <c r="K484" s="13"/>
      <c r="L484" s="3" t="s">
        <v>257</v>
      </c>
      <c r="M484" s="3" t="s">
        <v>164</v>
      </c>
      <c r="N484" s="3" t="s">
        <v>75</v>
      </c>
    </row>
    <row r="485" customFormat="false" ht="13.8" hidden="false" customHeight="false" outlineLevel="0" collapsed="false">
      <c r="A485" s="3" t="n">
        <v>484</v>
      </c>
      <c r="B485" s="3" t="s">
        <v>563</v>
      </c>
      <c r="C485" s="3" t="s">
        <v>105</v>
      </c>
      <c r="D485" s="3" t="s">
        <v>61</v>
      </c>
      <c r="E485" s="25" t="s">
        <v>896</v>
      </c>
      <c r="F485" s="3"/>
      <c r="G485" s="3"/>
      <c r="J485" s="13" t="str">
        <f aca="false">_xlfn.IFS(F485="","",M485=F485,1,M485&lt;&gt;F485,0)</f>
        <v/>
      </c>
      <c r="K485" s="13" t="str">
        <f aca="false">_xlfn.IFS(G485="","",N485=G485,1,N485&lt;&gt;G485,0)</f>
        <v/>
      </c>
      <c r="L485" s="3"/>
      <c r="M485" s="3" t="s">
        <v>105</v>
      </c>
      <c r="N485" s="3" t="s">
        <v>61</v>
      </c>
    </row>
    <row r="486" customFormat="false" ht="13.8" hidden="false" customHeight="false" outlineLevel="0" collapsed="false">
      <c r="A486" s="3" t="n">
        <v>485</v>
      </c>
      <c r="B486" s="3" t="s">
        <v>530</v>
      </c>
      <c r="C486" s="3" t="s">
        <v>105</v>
      </c>
      <c r="D486" s="3" t="s">
        <v>61</v>
      </c>
      <c r="E486" s="25" t="s">
        <v>891</v>
      </c>
      <c r="F486" s="3" t="s">
        <v>164</v>
      </c>
      <c r="G486" s="3" t="s">
        <v>154</v>
      </c>
      <c r="J486" s="13" t="n">
        <f aca="false">_xlfn.IFS(F486="","",M486=F486,1,M486&lt;&gt;F486,0)</f>
        <v>0</v>
      </c>
      <c r="K486" s="13" t="n">
        <f aca="false">_xlfn.IFS(G486="","",N486=G486,1,N486&lt;&gt;G486,0)</f>
        <v>0</v>
      </c>
      <c r="L486" s="3"/>
      <c r="M486" s="3" t="s">
        <v>105</v>
      </c>
      <c r="N486" s="3" t="s">
        <v>61</v>
      </c>
    </row>
    <row r="487" customFormat="false" ht="13.8" hidden="false" customHeight="false" outlineLevel="0" collapsed="false">
      <c r="A487" s="3" t="n">
        <v>486</v>
      </c>
      <c r="B487" s="3" t="s">
        <v>481</v>
      </c>
      <c r="C487" s="3" t="s">
        <v>143</v>
      </c>
      <c r="D487" s="3" t="s">
        <v>198</v>
      </c>
      <c r="E487" s="25" t="s">
        <v>482</v>
      </c>
      <c r="F487" s="3" t="s">
        <v>81</v>
      </c>
      <c r="G487" s="3"/>
      <c r="J487" s="13"/>
      <c r="K487" s="13"/>
      <c r="L487" s="3" t="s">
        <v>257</v>
      </c>
      <c r="M487" s="3" t="s">
        <v>143</v>
      </c>
      <c r="N487" s="3" t="s">
        <v>198</v>
      </c>
    </row>
    <row r="488" customFormat="false" ht="13.8" hidden="false" customHeight="false" outlineLevel="0" collapsed="false">
      <c r="A488" s="3" t="n">
        <v>487</v>
      </c>
      <c r="B488" s="3" t="s">
        <v>422</v>
      </c>
      <c r="C488" s="3" t="s">
        <v>105</v>
      </c>
      <c r="D488" s="3" t="s">
        <v>77</v>
      </c>
      <c r="E488" s="25" t="s">
        <v>482</v>
      </c>
      <c r="F488" s="3" t="s">
        <v>105</v>
      </c>
      <c r="G488" s="3" t="s">
        <v>61</v>
      </c>
      <c r="J488" s="13" t="n">
        <f aca="false">_xlfn.IFS(F488="","",M488=F488,1,M488&lt;&gt;F488,0)</f>
        <v>1</v>
      </c>
      <c r="K488" s="13" t="n">
        <f aca="false">_xlfn.IFS(G488="","",N488=G488,1,N488&lt;&gt;G488,0)</f>
        <v>0</v>
      </c>
      <c r="L488" s="3"/>
      <c r="M488" s="3" t="s">
        <v>105</v>
      </c>
      <c r="N488" s="3" t="s">
        <v>894</v>
      </c>
    </row>
    <row r="489" customFormat="false" ht="13.8" hidden="false" customHeight="false" outlineLevel="0" collapsed="false">
      <c r="A489" s="3" t="n">
        <v>488</v>
      </c>
      <c r="B489" s="3" t="s">
        <v>824</v>
      </c>
      <c r="C489" s="3" t="s">
        <v>105</v>
      </c>
      <c r="D489" s="3" t="s">
        <v>61</v>
      </c>
      <c r="E489" s="25" t="s">
        <v>896</v>
      </c>
      <c r="F489" s="3"/>
      <c r="G489" s="3"/>
      <c r="J489" s="13" t="str">
        <f aca="false">_xlfn.IFS(F489="","",M489=F489,1,M489&lt;&gt;F489,0)</f>
        <v/>
      </c>
      <c r="K489" s="13" t="str">
        <f aca="false">_xlfn.IFS(G489="","",N489=G489,1,N489&lt;&gt;G489,0)</f>
        <v/>
      </c>
      <c r="L489" s="3"/>
      <c r="M489" s="3" t="s">
        <v>105</v>
      </c>
      <c r="N489" s="3" t="s">
        <v>61</v>
      </c>
    </row>
    <row r="490" customFormat="false" ht="13.8" hidden="false" customHeight="false" outlineLevel="0" collapsed="false">
      <c r="A490" s="3" t="n">
        <v>489</v>
      </c>
      <c r="B490" s="3" t="s">
        <v>491</v>
      </c>
      <c r="C490" s="3" t="s">
        <v>105</v>
      </c>
      <c r="D490" s="3" t="s">
        <v>55</v>
      </c>
      <c r="E490" s="25" t="s">
        <v>891</v>
      </c>
      <c r="F490" s="3" t="s">
        <v>164</v>
      </c>
      <c r="G490" s="3" t="s">
        <v>154</v>
      </c>
      <c r="J490" s="13" t="n">
        <f aca="false">_xlfn.IFS(F490="","",M490=F490,1,M490&lt;&gt;F490,0)</f>
        <v>0</v>
      </c>
      <c r="K490" s="13" t="n">
        <f aca="false">_xlfn.IFS(G490="","",N490=G490,1,N490&lt;&gt;G490,0)</f>
        <v>0</v>
      </c>
      <c r="L490" s="3"/>
      <c r="M490" s="3" t="s">
        <v>105</v>
      </c>
      <c r="N490" s="3" t="s">
        <v>55</v>
      </c>
    </row>
    <row r="491" customFormat="false" ht="13.8" hidden="false" customHeight="false" outlineLevel="0" collapsed="false">
      <c r="A491" s="3" t="n">
        <v>490</v>
      </c>
      <c r="B491" s="3" t="s">
        <v>717</v>
      </c>
      <c r="C491" s="3" t="s">
        <v>105</v>
      </c>
      <c r="D491" s="3" t="s">
        <v>77</v>
      </c>
      <c r="E491" s="25" t="s">
        <v>891</v>
      </c>
      <c r="F491" s="3" t="s">
        <v>164</v>
      </c>
      <c r="G491" s="3" t="s">
        <v>63</v>
      </c>
      <c r="J491" s="13" t="n">
        <f aca="false">_xlfn.IFS(F491="","",M491=F491,1,M491&lt;&gt;F491,0)</f>
        <v>0</v>
      </c>
      <c r="K491" s="13" t="n">
        <f aca="false">_xlfn.IFS(G491="","",N491=G491,1,N491&lt;&gt;G491,0)</f>
        <v>0</v>
      </c>
      <c r="L491" s="3"/>
      <c r="M491" s="3" t="s">
        <v>105</v>
      </c>
      <c r="N491" s="3" t="s">
        <v>894</v>
      </c>
    </row>
    <row r="492" customFormat="false" ht="13.8" hidden="false" customHeight="false" outlineLevel="0" collapsed="false">
      <c r="A492" s="3" t="n">
        <v>491</v>
      </c>
      <c r="B492" s="3" t="s">
        <v>583</v>
      </c>
      <c r="C492" s="3" t="s">
        <v>105</v>
      </c>
      <c r="D492" s="3" t="s">
        <v>61</v>
      </c>
      <c r="E492" s="25" t="s">
        <v>482</v>
      </c>
      <c r="F492" s="3" t="s">
        <v>105</v>
      </c>
      <c r="G492" s="3" t="s">
        <v>894</v>
      </c>
      <c r="J492" s="13" t="n">
        <f aca="false">_xlfn.IFS(F492="","",M492=F492,1,M492&lt;&gt;F492,0)</f>
        <v>1</v>
      </c>
      <c r="K492" s="13" t="n">
        <f aca="false">_xlfn.IFS(G492="","",N492=G492,1,N492&lt;&gt;G492,0)</f>
        <v>0</v>
      </c>
      <c r="L492" s="3"/>
      <c r="M492" s="3" t="s">
        <v>105</v>
      </c>
      <c r="N492" s="3" t="s">
        <v>61</v>
      </c>
    </row>
    <row r="493" customFormat="false" ht="13.8" hidden="false" customHeight="false" outlineLevel="0" collapsed="false">
      <c r="A493" s="3" t="n">
        <v>492</v>
      </c>
      <c r="B493" s="3" t="s">
        <v>590</v>
      </c>
      <c r="C493" s="3" t="s">
        <v>105</v>
      </c>
      <c r="D493" s="3" t="s">
        <v>61</v>
      </c>
      <c r="E493" s="25" t="s">
        <v>896</v>
      </c>
      <c r="F493" s="3"/>
      <c r="G493" s="3"/>
      <c r="J493" s="13" t="str">
        <f aca="false">_xlfn.IFS(F493="","",M493=F493,1,M493&lt;&gt;F493,0)</f>
        <v/>
      </c>
      <c r="K493" s="13" t="str">
        <f aca="false">_xlfn.IFS(G493="","",N493=G493,1,N493&lt;&gt;G493,0)</f>
        <v/>
      </c>
      <c r="L493" s="3"/>
      <c r="M493" s="3" t="s">
        <v>105</v>
      </c>
      <c r="N493" s="3" t="s">
        <v>61</v>
      </c>
    </row>
    <row r="494" customFormat="false" ht="13.8" hidden="false" customHeight="false" outlineLevel="0" collapsed="false">
      <c r="A494" s="3" t="n">
        <v>493</v>
      </c>
      <c r="B494" s="3" t="s">
        <v>553</v>
      </c>
      <c r="C494" s="3" t="s">
        <v>105</v>
      </c>
      <c r="D494" s="3" t="s">
        <v>61</v>
      </c>
      <c r="E494" s="25" t="s">
        <v>896</v>
      </c>
      <c r="F494" s="3"/>
      <c r="G494" s="3"/>
      <c r="J494" s="13" t="str">
        <f aca="false">_xlfn.IFS(F494="","",M494=F494,1,M494&lt;&gt;F494,0)</f>
        <v/>
      </c>
      <c r="K494" s="13" t="str">
        <f aca="false">_xlfn.IFS(G494="","",N494=G494,1,N494&lt;&gt;G494,0)</f>
        <v/>
      </c>
      <c r="L494" s="3"/>
      <c r="M494" s="3" t="s">
        <v>105</v>
      </c>
      <c r="N494" s="3" t="s">
        <v>61</v>
      </c>
    </row>
    <row r="495" customFormat="false" ht="13.8" hidden="false" customHeight="false" outlineLevel="0" collapsed="false">
      <c r="A495" s="3" t="n">
        <v>494</v>
      </c>
      <c r="B495" s="3" t="s">
        <v>301</v>
      </c>
      <c r="C495" s="3" t="s">
        <v>143</v>
      </c>
      <c r="D495" s="3" t="s">
        <v>256</v>
      </c>
      <c r="E495" s="25" t="s">
        <v>482</v>
      </c>
      <c r="F495" s="3" t="s">
        <v>143</v>
      </c>
      <c r="G495" s="3" t="s">
        <v>160</v>
      </c>
      <c r="J495" s="13"/>
      <c r="K495" s="13"/>
      <c r="L495" s="3" t="s">
        <v>257</v>
      </c>
      <c r="M495" s="3" t="s">
        <v>143</v>
      </c>
      <c r="N495" s="3" t="s">
        <v>256</v>
      </c>
    </row>
    <row r="496" customFormat="false" ht="13.8" hidden="false" customHeight="false" outlineLevel="0" collapsed="false">
      <c r="A496" s="3" t="n">
        <v>495</v>
      </c>
      <c r="B496" s="3" t="s">
        <v>845</v>
      </c>
      <c r="C496" s="3" t="s">
        <v>105</v>
      </c>
      <c r="D496" s="3" t="s">
        <v>61</v>
      </c>
      <c r="E496" s="25" t="s">
        <v>482</v>
      </c>
      <c r="F496" s="3" t="s">
        <v>105</v>
      </c>
      <c r="G496" s="3" t="s">
        <v>61</v>
      </c>
      <c r="J496" s="13" t="n">
        <f aca="false">_xlfn.IFS(F496="","",M496=F496,1,M496&lt;&gt;F496,0)</f>
        <v>1</v>
      </c>
      <c r="K496" s="13" t="n">
        <f aca="false">_xlfn.IFS(G496="","",N496=G496,1,N496&lt;&gt;G496,0)</f>
        <v>1</v>
      </c>
      <c r="L496" s="3"/>
      <c r="M496" s="3" t="s">
        <v>105</v>
      </c>
      <c r="N496" s="3" t="s">
        <v>61</v>
      </c>
    </row>
    <row r="497" customFormat="false" ht="13.8" hidden="false" customHeight="false" outlineLevel="0" collapsed="false">
      <c r="A497" s="3" t="n">
        <v>496</v>
      </c>
      <c r="B497" s="3" t="s">
        <v>597</v>
      </c>
      <c r="C497" s="3" t="s">
        <v>105</v>
      </c>
      <c r="D497" s="3" t="s">
        <v>61</v>
      </c>
      <c r="E497" s="25" t="s">
        <v>482</v>
      </c>
      <c r="F497" s="3" t="s">
        <v>105</v>
      </c>
      <c r="G497" s="3" t="s">
        <v>894</v>
      </c>
      <c r="J497" s="13" t="n">
        <f aca="false">_xlfn.IFS(F497="","",M497=F497,1,M497&lt;&gt;F497,0)</f>
        <v>1</v>
      </c>
      <c r="K497" s="13" t="n">
        <f aca="false">_xlfn.IFS(G497="","",N497=G497,1,N497&lt;&gt;G497,0)</f>
        <v>0</v>
      </c>
      <c r="L497" s="3"/>
      <c r="M497" s="3" t="s">
        <v>105</v>
      </c>
      <c r="N497" s="3" t="s">
        <v>61</v>
      </c>
    </row>
    <row r="498" customFormat="false" ht="13.8" hidden="false" customHeight="false" outlineLevel="0" collapsed="false">
      <c r="A498" s="3" t="n">
        <v>497</v>
      </c>
      <c r="B498" s="3" t="s">
        <v>628</v>
      </c>
      <c r="C498" s="3" t="s">
        <v>143</v>
      </c>
      <c r="D498" s="3" t="s">
        <v>198</v>
      </c>
      <c r="E498" s="25" t="s">
        <v>482</v>
      </c>
      <c r="F498" s="3" t="s">
        <v>105</v>
      </c>
      <c r="G498" s="3" t="s">
        <v>61</v>
      </c>
      <c r="J498" s="13"/>
      <c r="K498" s="13"/>
      <c r="L498" s="3" t="s">
        <v>257</v>
      </c>
      <c r="M498" s="3" t="s">
        <v>143</v>
      </c>
      <c r="N498" s="3" t="s">
        <v>198</v>
      </c>
    </row>
    <row r="499" customFormat="false" ht="13.8" hidden="false" customHeight="false" outlineLevel="0" collapsed="false">
      <c r="A499" s="3" t="n">
        <v>498</v>
      </c>
      <c r="B499" s="3" t="s">
        <v>840</v>
      </c>
      <c r="C499" s="3" t="s">
        <v>143</v>
      </c>
      <c r="D499" s="3" t="s">
        <v>198</v>
      </c>
      <c r="E499" s="25" t="s">
        <v>482</v>
      </c>
      <c r="F499" s="3" t="s">
        <v>105</v>
      </c>
      <c r="G499" s="3" t="s">
        <v>61</v>
      </c>
      <c r="J499" s="13"/>
      <c r="K499" s="13"/>
      <c r="L499" s="3" t="s">
        <v>257</v>
      </c>
      <c r="M499" s="3" t="s">
        <v>143</v>
      </c>
      <c r="N499" s="3" t="s">
        <v>198</v>
      </c>
    </row>
    <row r="500" customFormat="false" ht="13.8" hidden="false" customHeight="false" outlineLevel="0" collapsed="false">
      <c r="A500" s="3" t="n">
        <v>499</v>
      </c>
      <c r="B500" s="3" t="s">
        <v>437</v>
      </c>
      <c r="C500" s="3" t="s">
        <v>105</v>
      </c>
      <c r="D500" s="3" t="s">
        <v>61</v>
      </c>
      <c r="E500" s="25" t="s">
        <v>896</v>
      </c>
      <c r="F500" s="3"/>
      <c r="G500" s="3"/>
      <c r="J500" s="13" t="str">
        <f aca="false">_xlfn.IFS(F500="","",M500=F500,1,M500&lt;&gt;F500,0)</f>
        <v/>
      </c>
      <c r="K500" s="13" t="str">
        <f aca="false">_xlfn.IFS(G500="","",N500=G500,1,N500&lt;&gt;G500,0)</f>
        <v/>
      </c>
      <c r="L500" s="3"/>
      <c r="M500" s="3" t="s">
        <v>105</v>
      </c>
      <c r="N500" s="3" t="s">
        <v>61</v>
      </c>
    </row>
    <row r="501" customFormat="false" ht="13.8" hidden="false" customHeight="false" outlineLevel="0" collapsed="false">
      <c r="A501" s="3" t="n">
        <v>500</v>
      </c>
      <c r="B501" s="3" t="s">
        <v>659</v>
      </c>
      <c r="C501" s="3" t="s">
        <v>105</v>
      </c>
      <c r="D501" s="3" t="s">
        <v>61</v>
      </c>
      <c r="E501" s="25" t="s">
        <v>891</v>
      </c>
      <c r="F501" s="3" t="s">
        <v>164</v>
      </c>
      <c r="G501" s="3" t="s">
        <v>893</v>
      </c>
      <c r="J501" s="13" t="n">
        <f aca="false">_xlfn.IFS(F501="","",M501=F501,1,M501&lt;&gt;F501,0)</f>
        <v>0</v>
      </c>
      <c r="K501" s="13" t="n">
        <f aca="false">_xlfn.IFS(G501="","",N501=G501,1,N501&lt;&gt;G501,0)</f>
        <v>0</v>
      </c>
      <c r="L501" s="3"/>
      <c r="M501" s="3" t="s">
        <v>105</v>
      </c>
      <c r="N501" s="3" t="s">
        <v>61</v>
      </c>
    </row>
    <row r="502" customFormat="false" ht="13.8" hidden="false" customHeight="false" outlineLevel="0" collapsed="false">
      <c r="A502" s="3" t="n">
        <v>501</v>
      </c>
      <c r="B502" s="3" t="s">
        <v>551</v>
      </c>
      <c r="C502" s="3" t="s">
        <v>105</v>
      </c>
      <c r="D502" s="3" t="s">
        <v>61</v>
      </c>
      <c r="E502" s="25" t="s">
        <v>482</v>
      </c>
      <c r="F502" s="3" t="s">
        <v>105</v>
      </c>
      <c r="G502" s="3" t="s">
        <v>61</v>
      </c>
      <c r="J502" s="13" t="n">
        <f aca="false">_xlfn.IFS(F502="","",M502=F502,1,M502&lt;&gt;F502,0)</f>
        <v>1</v>
      </c>
      <c r="K502" s="13" t="n">
        <f aca="false">_xlfn.IFS(G502="","",N502=G502,1,N502&lt;&gt;G502,0)</f>
        <v>1</v>
      </c>
      <c r="L502" s="3"/>
      <c r="M502" s="3" t="s">
        <v>105</v>
      </c>
      <c r="N502" s="3" t="s">
        <v>61</v>
      </c>
    </row>
    <row r="503" customFormat="false" ht="13.8" hidden="false" customHeight="false" outlineLevel="0" collapsed="false">
      <c r="A503" s="3" t="n">
        <v>502</v>
      </c>
      <c r="B503" s="3" t="s">
        <v>598</v>
      </c>
      <c r="C503" s="3" t="s">
        <v>105</v>
      </c>
      <c r="D503" s="3" t="s">
        <v>61</v>
      </c>
      <c r="E503" s="25" t="s">
        <v>482</v>
      </c>
      <c r="F503" s="3" t="s">
        <v>81</v>
      </c>
      <c r="G503" s="3"/>
      <c r="J503" s="13" t="n">
        <f aca="false">_xlfn.IFS(F503="","",M503=F503,1,M503&lt;&gt;F503,0)</f>
        <v>0</v>
      </c>
      <c r="K503" s="13" t="str">
        <f aca="false">_xlfn.IFS(G503="","",N503=G503,1,N503&lt;&gt;G503,0)</f>
        <v/>
      </c>
      <c r="L503" s="3"/>
      <c r="M503" s="3" t="s">
        <v>105</v>
      </c>
      <c r="N503" s="3" t="s">
        <v>61</v>
      </c>
    </row>
    <row r="504" customFormat="false" ht="13.8" hidden="false" customHeight="false" outlineLevel="0" collapsed="false">
      <c r="A504" s="3" t="n">
        <v>503</v>
      </c>
      <c r="B504" s="3" t="s">
        <v>697</v>
      </c>
      <c r="C504" s="3" t="s">
        <v>143</v>
      </c>
      <c r="D504" s="3" t="s">
        <v>351</v>
      </c>
      <c r="E504" s="25" t="s">
        <v>482</v>
      </c>
      <c r="F504" s="3" t="s">
        <v>105</v>
      </c>
      <c r="G504" s="3" t="s">
        <v>61</v>
      </c>
      <c r="J504" s="13"/>
      <c r="K504" s="13"/>
      <c r="L504" s="3" t="s">
        <v>257</v>
      </c>
      <c r="M504" s="3" t="s">
        <v>143</v>
      </c>
      <c r="N504" s="3" t="s">
        <v>351</v>
      </c>
    </row>
    <row r="505" customFormat="false" ht="13.8" hidden="false" customHeight="false" outlineLevel="0" collapsed="false">
      <c r="A505" s="3" t="n">
        <v>504</v>
      </c>
      <c r="B505" s="3" t="s">
        <v>425</v>
      </c>
      <c r="C505" s="3" t="s">
        <v>105</v>
      </c>
      <c r="D505" s="3" t="s">
        <v>61</v>
      </c>
      <c r="E505" s="25" t="s">
        <v>482</v>
      </c>
      <c r="F505" s="3" t="s">
        <v>105</v>
      </c>
      <c r="G505" s="3" t="s">
        <v>61</v>
      </c>
      <c r="J505" s="13" t="n">
        <f aca="false">_xlfn.IFS(F505="","",M505=F505,1,M505&lt;&gt;F505,0)</f>
        <v>1</v>
      </c>
      <c r="K505" s="13" t="n">
        <f aca="false">_xlfn.IFS(G505="","",N505=G505,1,N505&lt;&gt;G505,0)</f>
        <v>1</v>
      </c>
      <c r="L505" s="3"/>
      <c r="M505" s="3" t="s">
        <v>105</v>
      </c>
      <c r="N505" s="3" t="s">
        <v>61</v>
      </c>
    </row>
    <row r="506" customFormat="false" ht="13.8" hidden="false" customHeight="false" outlineLevel="0" collapsed="false">
      <c r="A506" s="3" t="n">
        <v>505</v>
      </c>
      <c r="B506" s="3" t="s">
        <v>539</v>
      </c>
      <c r="C506" s="3" t="s">
        <v>143</v>
      </c>
      <c r="D506" s="3" t="s">
        <v>198</v>
      </c>
      <c r="E506" s="25" t="s">
        <v>891</v>
      </c>
      <c r="F506" s="3" t="s">
        <v>164</v>
      </c>
      <c r="G506" s="3" t="s">
        <v>154</v>
      </c>
      <c r="J506" s="13"/>
      <c r="K506" s="13"/>
      <c r="L506" s="3" t="s">
        <v>257</v>
      </c>
      <c r="M506" s="3" t="s">
        <v>143</v>
      </c>
      <c r="N506" s="3" t="s">
        <v>198</v>
      </c>
    </row>
    <row r="507" customFormat="false" ht="13.8" hidden="false" customHeight="false" outlineLevel="0" collapsed="false">
      <c r="A507" s="3" t="n">
        <v>506</v>
      </c>
      <c r="B507" s="3" t="s">
        <v>321</v>
      </c>
      <c r="C507" s="3" t="s">
        <v>105</v>
      </c>
      <c r="D507" s="3" t="s">
        <v>77</v>
      </c>
      <c r="E507" s="25" t="s">
        <v>891</v>
      </c>
      <c r="F507" s="3" t="s">
        <v>164</v>
      </c>
      <c r="G507" s="3" t="s">
        <v>63</v>
      </c>
      <c r="J507" s="13" t="n">
        <f aca="false">_xlfn.IFS(F507="","",M507=F507,1,M507&lt;&gt;F507,0)</f>
        <v>0</v>
      </c>
      <c r="K507" s="13" t="n">
        <f aca="false">_xlfn.IFS(G507="","",N507=G507,1,N507&lt;&gt;G507,0)</f>
        <v>0</v>
      </c>
      <c r="L507" s="3"/>
      <c r="M507" s="3" t="s">
        <v>105</v>
      </c>
      <c r="N507" s="3" t="s">
        <v>894</v>
      </c>
    </row>
    <row r="508" customFormat="false" ht="13.8" hidden="false" customHeight="false" outlineLevel="0" collapsed="false">
      <c r="A508" s="3" t="n">
        <v>507</v>
      </c>
      <c r="B508" s="3" t="s">
        <v>803</v>
      </c>
      <c r="C508" s="3" t="s">
        <v>105</v>
      </c>
      <c r="D508" s="3" t="s">
        <v>61</v>
      </c>
      <c r="E508" s="25" t="s">
        <v>482</v>
      </c>
      <c r="F508" s="3" t="s">
        <v>105</v>
      </c>
      <c r="G508" s="3" t="s">
        <v>61</v>
      </c>
      <c r="J508" s="13" t="n">
        <f aca="false">_xlfn.IFS(F508="","",M508=F508,1,M508&lt;&gt;F508,0)</f>
        <v>1</v>
      </c>
      <c r="K508" s="13" t="n">
        <f aca="false">_xlfn.IFS(G508="","",N508=G508,1,N508&lt;&gt;G508,0)</f>
        <v>1</v>
      </c>
      <c r="L508" s="3"/>
      <c r="M508" s="3" t="s">
        <v>105</v>
      </c>
      <c r="N508" s="3" t="s">
        <v>61</v>
      </c>
    </row>
    <row r="509" customFormat="false" ht="13.8" hidden="false" customHeight="false" outlineLevel="0" collapsed="false">
      <c r="A509" s="3" t="n">
        <v>508</v>
      </c>
      <c r="B509" s="3" t="s">
        <v>578</v>
      </c>
      <c r="C509" s="3" t="s">
        <v>105</v>
      </c>
      <c r="D509" s="3" t="s">
        <v>61</v>
      </c>
      <c r="E509" s="25" t="s">
        <v>891</v>
      </c>
      <c r="F509" s="3" t="s">
        <v>164</v>
      </c>
      <c r="G509" s="3" t="s">
        <v>884</v>
      </c>
      <c r="J509" s="13" t="n">
        <f aca="false">_xlfn.IFS(F509="","",M509=F509,1,M509&lt;&gt;F509,0)</f>
        <v>0</v>
      </c>
      <c r="K509" s="13" t="n">
        <f aca="false">_xlfn.IFS(G509="","",N509=G509,1,N509&lt;&gt;G509,0)</f>
        <v>0</v>
      </c>
      <c r="L509" s="3"/>
      <c r="M509" s="3" t="s">
        <v>105</v>
      </c>
      <c r="N509" s="3" t="s">
        <v>61</v>
      </c>
    </row>
    <row r="510" customFormat="false" ht="13.8" hidden="false" customHeight="false" outlineLevel="0" collapsed="false">
      <c r="A510" s="3" t="n">
        <v>509</v>
      </c>
      <c r="B510" s="3" t="s">
        <v>510</v>
      </c>
      <c r="C510" s="3" t="s">
        <v>105</v>
      </c>
      <c r="D510" s="3" t="s">
        <v>61</v>
      </c>
      <c r="E510" s="25" t="s">
        <v>891</v>
      </c>
      <c r="F510" s="3" t="s">
        <v>164</v>
      </c>
      <c r="G510" s="3" t="s">
        <v>63</v>
      </c>
      <c r="J510" s="13" t="n">
        <f aca="false">_xlfn.IFS(F510="","",M510=F510,1,M510&lt;&gt;F510,0)</f>
        <v>0</v>
      </c>
      <c r="K510" s="13" t="n">
        <f aca="false">_xlfn.IFS(G510="","",N510=G510,1,N510&lt;&gt;G510,0)</f>
        <v>0</v>
      </c>
      <c r="L510" s="3"/>
      <c r="M510" s="3" t="s">
        <v>105</v>
      </c>
      <c r="N510" s="3" t="s">
        <v>61</v>
      </c>
    </row>
    <row r="511" customFormat="false" ht="13.8" hidden="false" customHeight="false" outlineLevel="0" collapsed="false">
      <c r="A511" s="3" t="n">
        <v>510</v>
      </c>
      <c r="B511" s="3" t="s">
        <v>855</v>
      </c>
      <c r="C511" s="3" t="s">
        <v>105</v>
      </c>
      <c r="D511" s="3" t="s">
        <v>61</v>
      </c>
      <c r="E511" s="25" t="s">
        <v>482</v>
      </c>
      <c r="F511" s="3" t="s">
        <v>105</v>
      </c>
      <c r="G511" s="3" t="s">
        <v>61</v>
      </c>
      <c r="J511" s="13" t="n">
        <f aca="false">_xlfn.IFS(F511="","",M511=F511,1,M511&lt;&gt;F511,0)</f>
        <v>1</v>
      </c>
      <c r="K511" s="13" t="n">
        <f aca="false">_xlfn.IFS(G511="","",N511=G511,1,N511&lt;&gt;G511,0)</f>
        <v>1</v>
      </c>
      <c r="L511" s="3"/>
      <c r="M511" s="3" t="s">
        <v>105</v>
      </c>
      <c r="N511" s="3" t="s">
        <v>61</v>
      </c>
    </row>
    <row r="512" customFormat="false" ht="13.8" hidden="false" customHeight="false" outlineLevel="0" collapsed="false">
      <c r="A512" s="3" t="n">
        <v>511</v>
      </c>
      <c r="B512" s="3" t="s">
        <v>842</v>
      </c>
      <c r="C512" s="3" t="s">
        <v>105</v>
      </c>
      <c r="D512" s="3" t="s">
        <v>77</v>
      </c>
      <c r="E512" s="25" t="s">
        <v>482</v>
      </c>
      <c r="F512" s="3" t="s">
        <v>81</v>
      </c>
      <c r="G512" s="3"/>
      <c r="J512" s="13" t="n">
        <f aca="false">_xlfn.IFS(F512="","",M512=F512,1,M512&lt;&gt;F512,0)</f>
        <v>0</v>
      </c>
      <c r="K512" s="13" t="str">
        <f aca="false">_xlfn.IFS(G512="","",N512=G512,1,N512&lt;&gt;G512,0)</f>
        <v/>
      </c>
      <c r="L512" s="3"/>
      <c r="M512" s="3" t="s">
        <v>105</v>
      </c>
      <c r="N512" s="3" t="s">
        <v>894</v>
      </c>
    </row>
    <row r="513" customFormat="false" ht="13.8" hidden="false" customHeight="false" outlineLevel="0" collapsed="false">
      <c r="A513" s="3" t="n">
        <v>512</v>
      </c>
      <c r="B513" s="3" t="s">
        <v>869</v>
      </c>
      <c r="C513" s="3" t="s">
        <v>143</v>
      </c>
      <c r="D513" s="3" t="s">
        <v>198</v>
      </c>
      <c r="E513" s="25" t="s">
        <v>891</v>
      </c>
      <c r="F513" s="3" t="s">
        <v>164</v>
      </c>
      <c r="G513" s="3" t="s">
        <v>154</v>
      </c>
      <c r="J513" s="13"/>
      <c r="K513" s="13"/>
      <c r="L513" s="3" t="s">
        <v>257</v>
      </c>
      <c r="M513" s="3" t="s">
        <v>143</v>
      </c>
      <c r="N513" s="3" t="s">
        <v>198</v>
      </c>
    </row>
    <row r="514" customFormat="false" ht="13.8" hidden="false" customHeight="false" outlineLevel="0" collapsed="false">
      <c r="A514" s="3" t="n">
        <v>513</v>
      </c>
      <c r="B514" s="3" t="s">
        <v>821</v>
      </c>
      <c r="C514" s="3" t="s">
        <v>105</v>
      </c>
      <c r="D514" s="3" t="s">
        <v>61</v>
      </c>
      <c r="E514" s="25" t="s">
        <v>896</v>
      </c>
      <c r="F514" s="3"/>
      <c r="G514" s="3"/>
      <c r="J514" s="13" t="str">
        <f aca="false">_xlfn.IFS(F514="","",M514=F514,1,M514&lt;&gt;F514,0)</f>
        <v/>
      </c>
      <c r="K514" s="13" t="str">
        <f aca="false">_xlfn.IFS(G514="","",N514=G514,1,N514&lt;&gt;G514,0)</f>
        <v/>
      </c>
      <c r="L514" s="3"/>
      <c r="M514" s="3" t="s">
        <v>105</v>
      </c>
      <c r="N514" s="3" t="s">
        <v>61</v>
      </c>
    </row>
    <row r="515" customFormat="false" ht="13.8" hidden="false" customHeight="false" outlineLevel="0" collapsed="false">
      <c r="A515" s="3" t="n">
        <v>514</v>
      </c>
      <c r="B515" s="3" t="s">
        <v>650</v>
      </c>
      <c r="C515" s="3" t="s">
        <v>143</v>
      </c>
      <c r="D515" s="3" t="s">
        <v>198</v>
      </c>
      <c r="E515" s="25" t="s">
        <v>891</v>
      </c>
      <c r="F515" s="3" t="s">
        <v>164</v>
      </c>
      <c r="G515" s="3" t="s">
        <v>154</v>
      </c>
      <c r="J515" s="13"/>
      <c r="K515" s="13"/>
      <c r="L515" s="3" t="s">
        <v>257</v>
      </c>
      <c r="M515" s="3" t="s">
        <v>143</v>
      </c>
      <c r="N515" s="3" t="s">
        <v>198</v>
      </c>
    </row>
    <row r="516" customFormat="false" ht="13.8" hidden="false" customHeight="false" outlineLevel="0" collapsed="false">
      <c r="A516" s="3" t="n">
        <v>515</v>
      </c>
      <c r="B516" s="3" t="s">
        <v>358</v>
      </c>
      <c r="C516" s="3" t="s">
        <v>150</v>
      </c>
      <c r="D516" s="3" t="s">
        <v>254</v>
      </c>
      <c r="E516" s="25" t="s">
        <v>891</v>
      </c>
      <c r="F516" s="3" t="s">
        <v>164</v>
      </c>
      <c r="G516" s="3" t="s">
        <v>884</v>
      </c>
      <c r="J516" s="13" t="n">
        <f aca="false">_xlfn.IFS(F516="","",M516=F516,1,M516&lt;&gt;F516,0)</f>
        <v>1</v>
      </c>
      <c r="K516" s="13" t="n">
        <f aca="false">_xlfn.IFS(G516="","",N516=G516,1,N516&lt;&gt;G516,0)</f>
        <v>0</v>
      </c>
      <c r="L516" s="3"/>
      <c r="M516" s="3" t="s">
        <v>164</v>
      </c>
      <c r="N516" s="3" t="s">
        <v>154</v>
      </c>
    </row>
    <row r="517" customFormat="false" ht="13.8" hidden="false" customHeight="false" outlineLevel="0" collapsed="false">
      <c r="A517" s="3" t="n">
        <v>516</v>
      </c>
      <c r="B517" s="3" t="s">
        <v>432</v>
      </c>
      <c r="C517" s="3" t="s">
        <v>105</v>
      </c>
      <c r="D517" s="3" t="s">
        <v>55</v>
      </c>
      <c r="E517" s="25" t="s">
        <v>891</v>
      </c>
      <c r="F517" s="3" t="s">
        <v>164</v>
      </c>
      <c r="G517" s="3" t="s">
        <v>63</v>
      </c>
      <c r="J517" s="13" t="n">
        <f aca="false">_xlfn.IFS(F517="","",M517=F517,1,M517&lt;&gt;F517,0)</f>
        <v>0</v>
      </c>
      <c r="K517" s="13" t="n">
        <f aca="false">_xlfn.IFS(G517="","",N517=G517,1,N517&lt;&gt;G517,0)</f>
        <v>0</v>
      </c>
      <c r="L517" s="3"/>
      <c r="M517" s="3" t="s">
        <v>105</v>
      </c>
      <c r="N517" s="3" t="s">
        <v>55</v>
      </c>
    </row>
    <row r="518" customFormat="false" ht="13.8" hidden="false" customHeight="false" outlineLevel="0" collapsed="false">
      <c r="A518" s="3" t="n">
        <v>517</v>
      </c>
      <c r="B518" s="3" t="s">
        <v>698</v>
      </c>
      <c r="C518" s="3" t="s">
        <v>105</v>
      </c>
      <c r="D518" s="3" t="s">
        <v>61</v>
      </c>
      <c r="E518" s="25" t="s">
        <v>482</v>
      </c>
      <c r="F518" s="3" t="s">
        <v>81</v>
      </c>
      <c r="G518" s="3"/>
      <c r="J518" s="13" t="n">
        <f aca="false">_xlfn.IFS(F518="","",M518=F518,1,M518&lt;&gt;F518,0)</f>
        <v>0</v>
      </c>
      <c r="K518" s="13" t="str">
        <f aca="false">_xlfn.IFS(G518="","",N518=G518,1,N518&lt;&gt;G518,0)</f>
        <v/>
      </c>
      <c r="L518" s="3"/>
      <c r="M518" s="3" t="s">
        <v>105</v>
      </c>
      <c r="N518" s="3" t="s">
        <v>61</v>
      </c>
    </row>
    <row r="519" customFormat="false" ht="13.8" hidden="false" customHeight="false" outlineLevel="0" collapsed="false">
      <c r="A519" s="3" t="n">
        <v>518</v>
      </c>
      <c r="B519" s="3" t="s">
        <v>656</v>
      </c>
      <c r="C519" s="3" t="s">
        <v>105</v>
      </c>
      <c r="D519" s="3" t="s">
        <v>61</v>
      </c>
      <c r="E519" s="25" t="s">
        <v>891</v>
      </c>
      <c r="F519" s="3" t="s">
        <v>164</v>
      </c>
      <c r="G519" s="3" t="s">
        <v>63</v>
      </c>
      <c r="J519" s="13" t="n">
        <f aca="false">_xlfn.IFS(F519="","",M519=F519,1,M519&lt;&gt;F519,0)</f>
        <v>0</v>
      </c>
      <c r="K519" s="13" t="n">
        <f aca="false">_xlfn.IFS(G519="","",N519=G519,1,N519&lt;&gt;G519,0)</f>
        <v>0</v>
      </c>
      <c r="L519" s="3"/>
      <c r="M519" s="3" t="s">
        <v>105</v>
      </c>
      <c r="N519" s="3" t="s">
        <v>61</v>
      </c>
    </row>
    <row r="520" customFormat="false" ht="13.8" hidden="false" customHeight="false" outlineLevel="0" collapsed="false">
      <c r="A520" s="3" t="n">
        <v>519</v>
      </c>
      <c r="B520" s="3" t="s">
        <v>359</v>
      </c>
      <c r="C520" s="3" t="s">
        <v>105</v>
      </c>
      <c r="D520" s="3" t="s">
        <v>61</v>
      </c>
      <c r="E520" s="25" t="s">
        <v>896</v>
      </c>
      <c r="F520" s="3"/>
      <c r="G520" s="3"/>
      <c r="J520" s="13" t="str">
        <f aca="false">_xlfn.IFS(F520="","",M520=F520,1,M520&lt;&gt;F520,0)</f>
        <v/>
      </c>
      <c r="K520" s="13" t="str">
        <f aca="false">_xlfn.IFS(G520="","",N520=G520,1,N520&lt;&gt;G520,0)</f>
        <v/>
      </c>
      <c r="L520" s="3"/>
      <c r="M520" s="3" t="s">
        <v>105</v>
      </c>
      <c r="N520" s="3" t="s">
        <v>61</v>
      </c>
    </row>
    <row r="521" customFormat="false" ht="13.8" hidden="false" customHeight="false" outlineLevel="0" collapsed="false">
      <c r="A521" s="3" t="n">
        <v>520</v>
      </c>
      <c r="B521" s="3" t="s">
        <v>496</v>
      </c>
      <c r="C521" s="3" t="s">
        <v>105</v>
      </c>
      <c r="D521" s="3" t="s">
        <v>55</v>
      </c>
      <c r="E521" s="25" t="s">
        <v>891</v>
      </c>
      <c r="F521" s="3" t="s">
        <v>164</v>
      </c>
      <c r="G521" s="3" t="s">
        <v>63</v>
      </c>
      <c r="J521" s="13" t="n">
        <f aca="false">_xlfn.IFS(F521="","",M521=F521,1,M521&lt;&gt;F521,0)</f>
        <v>0</v>
      </c>
      <c r="K521" s="13" t="n">
        <f aca="false">_xlfn.IFS(G521="","",N521=G521,1,N521&lt;&gt;G521,0)</f>
        <v>0</v>
      </c>
      <c r="L521" s="3"/>
      <c r="M521" s="3" t="s">
        <v>105</v>
      </c>
      <c r="N521" s="3" t="s">
        <v>55</v>
      </c>
    </row>
    <row r="522" customFormat="false" ht="13.8" hidden="false" customHeight="false" outlineLevel="0" collapsed="false">
      <c r="A522" s="3" t="n">
        <v>521</v>
      </c>
      <c r="B522" s="3" t="s">
        <v>831</v>
      </c>
      <c r="C522" s="3" t="s">
        <v>105</v>
      </c>
      <c r="D522" s="3" t="s">
        <v>61</v>
      </c>
      <c r="E522" s="25" t="s">
        <v>896</v>
      </c>
      <c r="F522" s="3"/>
      <c r="G522" s="3"/>
      <c r="J522" s="13" t="str">
        <f aca="false">_xlfn.IFS(F522="","",M522=F522,1,M522&lt;&gt;F522,0)</f>
        <v/>
      </c>
      <c r="K522" s="13" t="str">
        <f aca="false">_xlfn.IFS(G522="","",N522=G522,1,N522&lt;&gt;G522,0)</f>
        <v/>
      </c>
      <c r="L522" s="3"/>
      <c r="M522" s="3" t="s">
        <v>105</v>
      </c>
      <c r="N522" s="3" t="s">
        <v>61</v>
      </c>
    </row>
    <row r="523" customFormat="false" ht="13.8" hidden="false" customHeight="false" outlineLevel="0" collapsed="false">
      <c r="A523" s="3" t="n">
        <v>522</v>
      </c>
      <c r="B523" s="3" t="s">
        <v>722</v>
      </c>
      <c r="C523" s="3" t="s">
        <v>105</v>
      </c>
      <c r="D523" s="3" t="s">
        <v>61</v>
      </c>
      <c r="E523" s="25" t="s">
        <v>482</v>
      </c>
      <c r="F523" s="3" t="s">
        <v>81</v>
      </c>
      <c r="G523" s="3"/>
      <c r="J523" s="13" t="n">
        <f aca="false">_xlfn.IFS(F523="","",M523=F523,1,M523&lt;&gt;F523,0)</f>
        <v>0</v>
      </c>
      <c r="K523" s="13" t="str">
        <f aca="false">_xlfn.IFS(G523="","",N523=G523,1,N523&lt;&gt;G523,0)</f>
        <v/>
      </c>
      <c r="L523" s="3"/>
      <c r="M523" s="3" t="s">
        <v>105</v>
      </c>
      <c r="N523" s="3" t="s">
        <v>61</v>
      </c>
    </row>
    <row r="524" customFormat="false" ht="13.8" hidden="false" customHeight="false" outlineLevel="0" collapsed="false">
      <c r="A524" s="3" t="n">
        <v>523</v>
      </c>
      <c r="B524" s="3" t="s">
        <v>751</v>
      </c>
      <c r="C524" s="3" t="s">
        <v>105</v>
      </c>
      <c r="D524" s="3" t="s">
        <v>61</v>
      </c>
      <c r="E524" s="25" t="s">
        <v>896</v>
      </c>
      <c r="F524" s="3"/>
      <c r="G524" s="3"/>
      <c r="J524" s="13" t="str">
        <f aca="false">_xlfn.IFS(F524="","",M524=F524,1,M524&lt;&gt;F524,0)</f>
        <v/>
      </c>
      <c r="K524" s="13" t="str">
        <f aca="false">_xlfn.IFS(G524="","",N524=G524,1,N524&lt;&gt;G524,0)</f>
        <v/>
      </c>
      <c r="L524" s="3"/>
      <c r="M524" s="3" t="s">
        <v>105</v>
      </c>
      <c r="N524" s="3" t="s">
        <v>61</v>
      </c>
    </row>
    <row r="525" customFormat="false" ht="13.8" hidden="false" customHeight="false" outlineLevel="0" collapsed="false">
      <c r="A525" s="3" t="n">
        <v>524</v>
      </c>
      <c r="B525" s="3" t="s">
        <v>686</v>
      </c>
      <c r="C525" s="3" t="s">
        <v>105</v>
      </c>
      <c r="D525" s="3" t="s">
        <v>61</v>
      </c>
      <c r="E525" s="25" t="s">
        <v>482</v>
      </c>
      <c r="F525" s="3" t="s">
        <v>105</v>
      </c>
      <c r="G525" s="3" t="s">
        <v>894</v>
      </c>
      <c r="J525" s="13" t="n">
        <f aca="false">_xlfn.IFS(F525="","",M525=F525,1,M525&lt;&gt;F525,0)</f>
        <v>1</v>
      </c>
      <c r="K525" s="13" t="n">
        <f aca="false">_xlfn.IFS(G525="","",N525=G525,1,N525&lt;&gt;G525,0)</f>
        <v>0</v>
      </c>
      <c r="L525" s="3"/>
      <c r="M525" s="3" t="s">
        <v>105</v>
      </c>
      <c r="N525" s="3" t="s">
        <v>61</v>
      </c>
    </row>
    <row r="526" customFormat="false" ht="13.8" hidden="false" customHeight="false" outlineLevel="0" collapsed="false">
      <c r="A526" s="3" t="n">
        <v>525</v>
      </c>
      <c r="B526" s="3" t="s">
        <v>379</v>
      </c>
      <c r="C526" s="3" t="s">
        <v>150</v>
      </c>
      <c r="D526" s="3" t="s">
        <v>254</v>
      </c>
      <c r="E526" s="25" t="s">
        <v>891</v>
      </c>
      <c r="F526" s="3" t="s">
        <v>164</v>
      </c>
      <c r="G526" s="3" t="s">
        <v>154</v>
      </c>
      <c r="J526" s="13" t="n">
        <f aca="false">_xlfn.IFS(F526="","",M526=F526,1,M526&lt;&gt;F526,0)</f>
        <v>1</v>
      </c>
      <c r="K526" s="13" t="n">
        <f aca="false">_xlfn.IFS(G526="","",N526=G526,1,N526&lt;&gt;G526,0)</f>
        <v>1</v>
      </c>
      <c r="L526" s="3"/>
      <c r="M526" s="3" t="s">
        <v>164</v>
      </c>
      <c r="N526" s="3" t="s">
        <v>154</v>
      </c>
    </row>
    <row r="527" customFormat="false" ht="13.8" hidden="false" customHeight="false" outlineLevel="0" collapsed="false">
      <c r="A527" s="3" t="n">
        <v>526</v>
      </c>
      <c r="B527" s="3" t="s">
        <v>796</v>
      </c>
      <c r="C527" s="3" t="s">
        <v>105</v>
      </c>
      <c r="D527" s="3" t="s">
        <v>61</v>
      </c>
      <c r="E527" s="25" t="s">
        <v>891</v>
      </c>
      <c r="F527" s="3" t="s">
        <v>164</v>
      </c>
      <c r="G527" s="3" t="s">
        <v>154</v>
      </c>
      <c r="J527" s="13" t="n">
        <f aca="false">_xlfn.IFS(F527="","",M527=F527,1,M527&lt;&gt;F527,0)</f>
        <v>0</v>
      </c>
      <c r="K527" s="13" t="n">
        <f aca="false">_xlfn.IFS(G527="","",N527=G527,1,N527&lt;&gt;G527,0)</f>
        <v>0</v>
      </c>
      <c r="L527" s="3"/>
      <c r="M527" s="3" t="s">
        <v>105</v>
      </c>
      <c r="N527" s="3" t="s">
        <v>61</v>
      </c>
    </row>
    <row r="528" customFormat="false" ht="13.8" hidden="false" customHeight="false" outlineLevel="0" collapsed="false">
      <c r="A528" s="3" t="n">
        <v>527</v>
      </c>
      <c r="B528" s="3" t="s">
        <v>662</v>
      </c>
      <c r="C528" s="3" t="s">
        <v>143</v>
      </c>
      <c r="D528" s="3" t="s">
        <v>198</v>
      </c>
      <c r="E528" s="25" t="s">
        <v>896</v>
      </c>
      <c r="F528" s="3"/>
      <c r="G528" s="3"/>
      <c r="J528" s="13"/>
      <c r="K528" s="13"/>
      <c r="L528" s="3" t="s">
        <v>257</v>
      </c>
      <c r="M528" s="3" t="s">
        <v>143</v>
      </c>
      <c r="N528" s="3" t="s">
        <v>198</v>
      </c>
    </row>
    <row r="529" customFormat="false" ht="13.8" hidden="false" customHeight="false" outlineLevel="0" collapsed="false">
      <c r="A529" s="3" t="n">
        <v>528</v>
      </c>
      <c r="B529" s="3" t="s">
        <v>710</v>
      </c>
      <c r="C529" s="3" t="s">
        <v>105</v>
      </c>
      <c r="D529" s="3" t="s">
        <v>61</v>
      </c>
      <c r="E529" s="25" t="s">
        <v>891</v>
      </c>
      <c r="F529" s="3" t="s">
        <v>164</v>
      </c>
      <c r="G529" s="3" t="s">
        <v>884</v>
      </c>
      <c r="J529" s="13" t="n">
        <f aca="false">_xlfn.IFS(F529="","",M529=F529,1,M529&lt;&gt;F529,0)</f>
        <v>0</v>
      </c>
      <c r="K529" s="13" t="n">
        <f aca="false">_xlfn.IFS(G529="","",N529=G529,1,N529&lt;&gt;G529,0)</f>
        <v>0</v>
      </c>
      <c r="L529" s="3"/>
      <c r="M529" s="3" t="s">
        <v>105</v>
      </c>
      <c r="N529" s="3" t="s">
        <v>61</v>
      </c>
    </row>
    <row r="530" customFormat="false" ht="13.8" hidden="false" customHeight="false" outlineLevel="0" collapsed="false">
      <c r="A530" s="3" t="n">
        <v>529</v>
      </c>
      <c r="B530" s="3" t="s">
        <v>392</v>
      </c>
      <c r="C530" s="3" t="s">
        <v>105</v>
      </c>
      <c r="D530" s="3" t="s">
        <v>77</v>
      </c>
      <c r="E530" s="25" t="s">
        <v>482</v>
      </c>
      <c r="F530" s="3" t="s">
        <v>105</v>
      </c>
      <c r="G530" s="3" t="s">
        <v>61</v>
      </c>
      <c r="J530" s="13" t="n">
        <f aca="false">_xlfn.IFS(F530="","",M530=F530,1,M530&lt;&gt;F530,0)</f>
        <v>1</v>
      </c>
      <c r="K530" s="13" t="n">
        <f aca="false">_xlfn.IFS(G530="","",N530=G530,1,N530&lt;&gt;G530,0)</f>
        <v>0</v>
      </c>
      <c r="L530" s="3"/>
      <c r="M530" s="3" t="s">
        <v>105</v>
      </c>
      <c r="N530" s="3" t="s">
        <v>894</v>
      </c>
    </row>
    <row r="531" customFormat="false" ht="13.8" hidden="false" customHeight="false" outlineLevel="0" collapsed="false">
      <c r="A531" s="3" t="n">
        <v>530</v>
      </c>
      <c r="B531" s="3" t="s">
        <v>779</v>
      </c>
      <c r="C531" s="3" t="s">
        <v>105</v>
      </c>
      <c r="D531" s="3" t="s">
        <v>61</v>
      </c>
      <c r="E531" s="25" t="s">
        <v>896</v>
      </c>
      <c r="F531" s="3"/>
      <c r="G531" s="3"/>
      <c r="J531" s="13" t="str">
        <f aca="false">_xlfn.IFS(F531="","",M531=F531,1,M531&lt;&gt;F531,0)</f>
        <v/>
      </c>
      <c r="K531" s="13" t="str">
        <f aca="false">_xlfn.IFS(G531="","",N531=G531,1,N531&lt;&gt;G531,0)</f>
        <v/>
      </c>
      <c r="L531" s="3"/>
      <c r="M531" s="3" t="s">
        <v>105</v>
      </c>
      <c r="N531" s="3" t="s">
        <v>61</v>
      </c>
    </row>
    <row r="532" customFormat="false" ht="13.8" hidden="false" customHeight="false" outlineLevel="0" collapsed="false">
      <c r="A532" s="3" t="n">
        <v>531</v>
      </c>
      <c r="B532" s="3" t="s">
        <v>302</v>
      </c>
      <c r="C532" s="3" t="s">
        <v>105</v>
      </c>
      <c r="D532" s="3" t="s">
        <v>55</v>
      </c>
      <c r="E532" s="25" t="s">
        <v>482</v>
      </c>
      <c r="F532" s="3" t="s">
        <v>105</v>
      </c>
      <c r="G532" s="3" t="s">
        <v>894</v>
      </c>
      <c r="J532" s="13" t="n">
        <f aca="false">_xlfn.IFS(F532="","",M532=F532,1,M532&lt;&gt;F532,0)</f>
        <v>1</v>
      </c>
      <c r="K532" s="13" t="n">
        <f aca="false">_xlfn.IFS(G532="","",N532=G532,1,N532&lt;&gt;G532,0)</f>
        <v>0</v>
      </c>
      <c r="L532" s="3"/>
      <c r="M532" s="3" t="s">
        <v>105</v>
      </c>
      <c r="N532" s="3" t="s">
        <v>55</v>
      </c>
    </row>
    <row r="533" customFormat="false" ht="13.8" hidden="false" customHeight="false" outlineLevel="0" collapsed="false">
      <c r="A533" s="3" t="n">
        <v>532</v>
      </c>
      <c r="B533" s="3" t="s">
        <v>518</v>
      </c>
      <c r="C533" s="3" t="s">
        <v>143</v>
      </c>
      <c r="D533" s="3" t="s">
        <v>198</v>
      </c>
      <c r="E533" s="25" t="s">
        <v>891</v>
      </c>
      <c r="F533" s="3" t="s">
        <v>164</v>
      </c>
      <c r="G533" s="3" t="s">
        <v>154</v>
      </c>
      <c r="J533" s="13"/>
      <c r="K533" s="13"/>
      <c r="L533" s="3" t="s">
        <v>257</v>
      </c>
      <c r="M533" s="3" t="s">
        <v>143</v>
      </c>
      <c r="N533" s="3" t="s">
        <v>198</v>
      </c>
    </row>
    <row r="534" customFormat="false" ht="13.8" hidden="false" customHeight="false" outlineLevel="0" collapsed="false">
      <c r="A534" s="3" t="n">
        <v>533</v>
      </c>
      <c r="B534" s="3" t="s">
        <v>814</v>
      </c>
      <c r="C534" s="3" t="s">
        <v>105</v>
      </c>
      <c r="D534" s="3" t="s">
        <v>61</v>
      </c>
      <c r="E534" s="25" t="s">
        <v>482</v>
      </c>
      <c r="F534" s="3" t="s">
        <v>105</v>
      </c>
      <c r="G534" s="3" t="s">
        <v>61</v>
      </c>
      <c r="J534" s="13" t="n">
        <f aca="false">_xlfn.IFS(F534="","",M534=F534,1,M534&lt;&gt;F534,0)</f>
        <v>1</v>
      </c>
      <c r="K534" s="13" t="n">
        <f aca="false">_xlfn.IFS(G534="","",N534=G534,1,N534&lt;&gt;G534,0)</f>
        <v>1</v>
      </c>
      <c r="L534" s="3"/>
      <c r="M534" s="3" t="s">
        <v>105</v>
      </c>
      <c r="N534" s="3" t="s">
        <v>61</v>
      </c>
    </row>
    <row r="535" customFormat="false" ht="13.8" hidden="false" customHeight="false" outlineLevel="0" collapsed="false">
      <c r="A535" s="3" t="n">
        <v>534</v>
      </c>
      <c r="B535" s="3" t="s">
        <v>629</v>
      </c>
      <c r="C535" s="3" t="s">
        <v>150</v>
      </c>
      <c r="D535" s="3" t="s">
        <v>245</v>
      </c>
      <c r="E535" s="25" t="s">
        <v>891</v>
      </c>
      <c r="F535" s="3" t="s">
        <v>164</v>
      </c>
      <c r="G535" s="3" t="s">
        <v>154</v>
      </c>
      <c r="J535" s="13" t="n">
        <f aca="false">_xlfn.IFS(F535="","",M535=F535,1,M535&lt;&gt;F535,0)</f>
        <v>1</v>
      </c>
      <c r="K535" s="13" t="n">
        <f aca="false">_xlfn.IFS(G535="","",N535=G535,1,N535&lt;&gt;G535,0)</f>
        <v>0</v>
      </c>
      <c r="L535" s="3"/>
      <c r="M535" s="3" t="s">
        <v>164</v>
      </c>
      <c r="N535" s="3" t="s">
        <v>899</v>
      </c>
    </row>
    <row r="536" customFormat="false" ht="13.8" hidden="false" customHeight="false" outlineLevel="0" collapsed="false">
      <c r="A536" s="3" t="n">
        <v>535</v>
      </c>
      <c r="B536" s="3" t="s">
        <v>652</v>
      </c>
      <c r="C536" s="3" t="s">
        <v>143</v>
      </c>
      <c r="D536" s="3" t="s">
        <v>198</v>
      </c>
      <c r="E536" s="25" t="s">
        <v>891</v>
      </c>
      <c r="F536" s="3" t="s">
        <v>164</v>
      </c>
      <c r="G536" s="3" t="s">
        <v>154</v>
      </c>
      <c r="J536" s="13"/>
      <c r="K536" s="13"/>
      <c r="L536" s="3" t="s">
        <v>257</v>
      </c>
      <c r="M536" s="3" t="s">
        <v>143</v>
      </c>
      <c r="N536" s="3" t="s">
        <v>198</v>
      </c>
    </row>
    <row r="537" customFormat="false" ht="13.8" hidden="false" customHeight="false" outlineLevel="0" collapsed="false">
      <c r="A537" s="3" t="n">
        <v>536</v>
      </c>
      <c r="B537" s="3" t="s">
        <v>685</v>
      </c>
      <c r="C537" s="3" t="s">
        <v>105</v>
      </c>
      <c r="D537" s="3" t="s">
        <v>61</v>
      </c>
      <c r="E537" s="25" t="s">
        <v>896</v>
      </c>
      <c r="F537" s="3"/>
      <c r="G537" s="3"/>
      <c r="J537" s="13" t="str">
        <f aca="false">_xlfn.IFS(F537="","",M537=F537,1,M537&lt;&gt;F537,0)</f>
        <v/>
      </c>
      <c r="K537" s="13" t="str">
        <f aca="false">_xlfn.IFS(G537="","",N537=G537,1,N537&lt;&gt;G537,0)</f>
        <v/>
      </c>
      <c r="L537" s="3"/>
      <c r="M537" s="3" t="s">
        <v>105</v>
      </c>
      <c r="N537" s="3" t="s">
        <v>61</v>
      </c>
    </row>
    <row r="538" customFormat="false" ht="13.8" hidden="false" customHeight="false" outlineLevel="0" collapsed="false">
      <c r="A538" s="3" t="n">
        <v>537</v>
      </c>
      <c r="B538" s="3" t="s">
        <v>513</v>
      </c>
      <c r="C538" s="3" t="s">
        <v>105</v>
      </c>
      <c r="D538" s="3" t="s">
        <v>77</v>
      </c>
      <c r="E538" s="25" t="s">
        <v>896</v>
      </c>
      <c r="F538" s="3"/>
      <c r="G538" s="3"/>
      <c r="J538" s="13" t="str">
        <f aca="false">_xlfn.IFS(F538="","",M538=F538,1,M538&lt;&gt;F538,0)</f>
        <v/>
      </c>
      <c r="K538" s="13" t="str">
        <f aca="false">_xlfn.IFS(G538="","",N538=G538,1,N538&lt;&gt;G538,0)</f>
        <v/>
      </c>
      <c r="L538" s="3"/>
      <c r="M538" s="3" t="s">
        <v>105</v>
      </c>
      <c r="N538" s="3" t="s">
        <v>894</v>
      </c>
    </row>
    <row r="539" customFormat="false" ht="13.8" hidden="false" customHeight="false" outlineLevel="0" collapsed="false">
      <c r="A539" s="3" t="n">
        <v>538</v>
      </c>
      <c r="B539" s="3" t="s">
        <v>570</v>
      </c>
      <c r="C539" s="3" t="s">
        <v>105</v>
      </c>
      <c r="D539" s="3" t="s">
        <v>61</v>
      </c>
      <c r="E539" s="25" t="s">
        <v>896</v>
      </c>
      <c r="F539" s="3"/>
      <c r="G539" s="3"/>
      <c r="J539" s="13" t="str">
        <f aca="false">_xlfn.IFS(F539="","",M539=F539,1,M539&lt;&gt;F539,0)</f>
        <v/>
      </c>
      <c r="K539" s="13" t="str">
        <f aca="false">_xlfn.IFS(G539="","",N539=G539,1,N539&lt;&gt;G539,0)</f>
        <v/>
      </c>
      <c r="L539" s="3"/>
      <c r="M539" s="3" t="s">
        <v>105</v>
      </c>
      <c r="N539" s="3" t="s">
        <v>61</v>
      </c>
    </row>
    <row r="540" customFormat="false" ht="13.8" hidden="false" customHeight="false" outlineLevel="0" collapsed="false">
      <c r="A540" s="3" t="n">
        <v>539</v>
      </c>
      <c r="B540" s="3" t="s">
        <v>771</v>
      </c>
      <c r="C540" s="3" t="s">
        <v>105</v>
      </c>
      <c r="D540" s="3" t="s">
        <v>61</v>
      </c>
      <c r="E540" s="25" t="s">
        <v>896</v>
      </c>
      <c r="F540" s="3"/>
      <c r="G540" s="3"/>
      <c r="J540" s="13" t="str">
        <f aca="false">_xlfn.IFS(F540="","",M540=F540,1,M540&lt;&gt;F540,0)</f>
        <v/>
      </c>
      <c r="K540" s="13" t="str">
        <f aca="false">_xlfn.IFS(G540="","",N540=G540,1,N540&lt;&gt;G540,0)</f>
        <v/>
      </c>
      <c r="L540" s="3"/>
      <c r="M540" s="3" t="s">
        <v>105</v>
      </c>
      <c r="N540" s="3" t="s">
        <v>61</v>
      </c>
    </row>
    <row r="541" customFormat="false" ht="13.8" hidden="false" customHeight="false" outlineLevel="0" collapsed="false">
      <c r="A541" s="3" t="n">
        <v>540</v>
      </c>
      <c r="B541" s="3" t="s">
        <v>732</v>
      </c>
      <c r="C541" s="3" t="s">
        <v>105</v>
      </c>
      <c r="D541" s="3" t="s">
        <v>61</v>
      </c>
      <c r="E541" s="25" t="s">
        <v>891</v>
      </c>
      <c r="F541" s="3" t="s">
        <v>164</v>
      </c>
      <c r="G541" s="3" t="s">
        <v>884</v>
      </c>
      <c r="J541" s="13" t="n">
        <f aca="false">_xlfn.IFS(F541="","",M541=F541,1,M541&lt;&gt;F541,0)</f>
        <v>0</v>
      </c>
      <c r="K541" s="13" t="n">
        <f aca="false">_xlfn.IFS(G541="","",N541=G541,1,N541&lt;&gt;G541,0)</f>
        <v>0</v>
      </c>
      <c r="L541" s="3"/>
      <c r="M541" s="3" t="s">
        <v>105</v>
      </c>
      <c r="N541" s="3" t="s">
        <v>61</v>
      </c>
    </row>
    <row r="542" customFormat="false" ht="13.8" hidden="false" customHeight="false" outlineLevel="0" collapsed="false">
      <c r="A542" s="3" t="n">
        <v>541</v>
      </c>
      <c r="B542" s="3" t="s">
        <v>322</v>
      </c>
      <c r="C542" s="3" t="s">
        <v>150</v>
      </c>
      <c r="D542" s="3" t="s">
        <v>254</v>
      </c>
      <c r="E542" s="25" t="s">
        <v>891</v>
      </c>
      <c r="F542" s="3" t="s">
        <v>164</v>
      </c>
      <c r="G542" s="3" t="s">
        <v>154</v>
      </c>
      <c r="J542" s="13" t="n">
        <f aca="false">_xlfn.IFS(F542="","",M542=F542,1,M542&lt;&gt;F542,0)</f>
        <v>1</v>
      </c>
      <c r="K542" s="13" t="n">
        <f aca="false">_xlfn.IFS(G542="","",N542=G542,1,N542&lt;&gt;G542,0)</f>
        <v>1</v>
      </c>
      <c r="L542" s="3"/>
      <c r="M542" s="3" t="s">
        <v>164</v>
      </c>
      <c r="N542" s="3" t="s">
        <v>154</v>
      </c>
    </row>
    <row r="543" customFormat="false" ht="13.8" hidden="false" customHeight="false" outlineLevel="0" collapsed="false">
      <c r="A543" s="3" t="n">
        <v>542</v>
      </c>
      <c r="B543" s="3" t="s">
        <v>864</v>
      </c>
      <c r="C543" s="3" t="s">
        <v>105</v>
      </c>
      <c r="D543" s="3" t="s">
        <v>61</v>
      </c>
      <c r="E543" s="25" t="s">
        <v>896</v>
      </c>
      <c r="F543" s="3"/>
      <c r="G543" s="3"/>
      <c r="J543" s="13" t="str">
        <f aca="false">_xlfn.IFS(F543="","",M543=F543,1,M543&lt;&gt;F543,0)</f>
        <v/>
      </c>
      <c r="K543" s="13" t="str">
        <f aca="false">_xlfn.IFS(G543="","",N543=G543,1,N543&lt;&gt;G543,0)</f>
        <v/>
      </c>
      <c r="L543" s="3"/>
      <c r="M543" s="3" t="s">
        <v>105</v>
      </c>
      <c r="N543" s="3" t="s">
        <v>61</v>
      </c>
    </row>
    <row r="544" customFormat="false" ht="13.8" hidden="false" customHeight="false" outlineLevel="0" collapsed="false">
      <c r="A544" s="3" t="n">
        <v>543</v>
      </c>
      <c r="B544" s="3" t="s">
        <v>626</v>
      </c>
      <c r="C544" s="3" t="s">
        <v>105</v>
      </c>
      <c r="D544" s="3" t="s">
        <v>77</v>
      </c>
      <c r="E544" s="25" t="s">
        <v>482</v>
      </c>
      <c r="F544" s="3" t="s">
        <v>105</v>
      </c>
      <c r="G544" s="3" t="s">
        <v>61</v>
      </c>
      <c r="J544" s="13" t="n">
        <f aca="false">_xlfn.IFS(F544="","",M544=F544,1,M544&lt;&gt;F544,0)</f>
        <v>1</v>
      </c>
      <c r="K544" s="13" t="n">
        <f aca="false">_xlfn.IFS(G544="","",N544=G544,1,N544&lt;&gt;G544,0)</f>
        <v>0</v>
      </c>
      <c r="L544" s="3"/>
      <c r="M544" s="3" t="s">
        <v>105</v>
      </c>
      <c r="N544" s="3" t="s">
        <v>894</v>
      </c>
    </row>
    <row r="545" customFormat="false" ht="13.8" hidden="false" customHeight="false" outlineLevel="0" collapsed="false">
      <c r="A545" s="3" t="n">
        <v>544</v>
      </c>
      <c r="B545" s="3" t="s">
        <v>713</v>
      </c>
      <c r="C545" s="3" t="s">
        <v>105</v>
      </c>
      <c r="D545" s="3" t="s">
        <v>77</v>
      </c>
      <c r="E545" s="25" t="s">
        <v>482</v>
      </c>
      <c r="F545" s="3" t="s">
        <v>105</v>
      </c>
      <c r="G545" s="3" t="s">
        <v>55</v>
      </c>
      <c r="J545" s="13" t="n">
        <f aca="false">_xlfn.IFS(F545="","",M545=F545,1,M545&lt;&gt;F545,0)</f>
        <v>1</v>
      </c>
      <c r="K545" s="13" t="n">
        <f aca="false">_xlfn.IFS(G545="","",N545=G545,1,N545&lt;&gt;G545,0)</f>
        <v>0</v>
      </c>
      <c r="L545" s="3"/>
      <c r="M545" s="3" t="s">
        <v>105</v>
      </c>
      <c r="N545" s="3" t="s">
        <v>894</v>
      </c>
    </row>
    <row r="546" customFormat="false" ht="13.8" hidden="false" customHeight="false" outlineLevel="0" collapsed="false">
      <c r="A546" s="3" t="n">
        <v>545</v>
      </c>
      <c r="B546" s="3" t="s">
        <v>731</v>
      </c>
      <c r="C546" s="3" t="s">
        <v>105</v>
      </c>
      <c r="D546" s="3" t="s">
        <v>61</v>
      </c>
      <c r="E546" s="25" t="s">
        <v>482</v>
      </c>
      <c r="F546" s="3" t="s">
        <v>105</v>
      </c>
      <c r="G546" s="3" t="s">
        <v>61</v>
      </c>
      <c r="J546" s="13" t="n">
        <f aca="false">_xlfn.IFS(F546="","",M546=F546,1,M546&lt;&gt;F546,0)</f>
        <v>1</v>
      </c>
      <c r="K546" s="13" t="n">
        <f aca="false">_xlfn.IFS(G546="","",N546=G546,1,N546&lt;&gt;G546,0)</f>
        <v>1</v>
      </c>
      <c r="L546" s="3"/>
      <c r="M546" s="3" t="s">
        <v>105</v>
      </c>
      <c r="N546" s="3" t="s">
        <v>61</v>
      </c>
    </row>
    <row r="547" customFormat="false" ht="13.8" hidden="false" customHeight="false" outlineLevel="0" collapsed="false">
      <c r="A547" s="3" t="n">
        <v>546</v>
      </c>
      <c r="B547" s="3" t="s">
        <v>843</v>
      </c>
      <c r="C547" s="3" t="s">
        <v>105</v>
      </c>
      <c r="D547" s="3" t="s">
        <v>61</v>
      </c>
      <c r="E547" s="25" t="s">
        <v>891</v>
      </c>
      <c r="F547" s="3" t="s">
        <v>164</v>
      </c>
      <c r="G547" s="3" t="s">
        <v>63</v>
      </c>
      <c r="J547" s="13" t="n">
        <f aca="false">_xlfn.IFS(F547="","",M547=F547,1,M547&lt;&gt;F547,0)</f>
        <v>0</v>
      </c>
      <c r="K547" s="13" t="n">
        <f aca="false">_xlfn.IFS(G547="","",N547=G547,1,N547&lt;&gt;G547,0)</f>
        <v>0</v>
      </c>
      <c r="L547" s="3"/>
      <c r="M547" s="3" t="s">
        <v>105</v>
      </c>
      <c r="N547" s="3" t="s">
        <v>61</v>
      </c>
    </row>
    <row r="548" customFormat="false" ht="13.8" hidden="false" customHeight="false" outlineLevel="0" collapsed="false">
      <c r="A548" s="3" t="n">
        <v>547</v>
      </c>
      <c r="B548" s="3" t="s">
        <v>385</v>
      </c>
      <c r="C548" s="3" t="s">
        <v>143</v>
      </c>
      <c r="D548" s="3" t="s">
        <v>198</v>
      </c>
      <c r="E548" s="25" t="s">
        <v>891</v>
      </c>
      <c r="F548" s="3" t="s">
        <v>164</v>
      </c>
      <c r="G548" s="3" t="s">
        <v>154</v>
      </c>
      <c r="J548" s="13"/>
      <c r="K548" s="13"/>
      <c r="L548" s="3" t="s">
        <v>257</v>
      </c>
      <c r="M548" s="3" t="s">
        <v>143</v>
      </c>
      <c r="N548" s="3" t="s">
        <v>198</v>
      </c>
    </row>
    <row r="549" customFormat="false" ht="13.8" hidden="false" customHeight="false" outlineLevel="0" collapsed="false">
      <c r="A549" s="3" t="n">
        <v>548</v>
      </c>
      <c r="B549" s="3" t="s">
        <v>712</v>
      </c>
      <c r="C549" s="3" t="s">
        <v>143</v>
      </c>
      <c r="D549" s="3" t="s">
        <v>198</v>
      </c>
      <c r="E549" s="25" t="s">
        <v>896</v>
      </c>
      <c r="F549" s="3"/>
      <c r="G549" s="3"/>
      <c r="J549" s="13"/>
      <c r="K549" s="13"/>
      <c r="L549" s="3" t="s">
        <v>257</v>
      </c>
      <c r="M549" s="3" t="s">
        <v>143</v>
      </c>
      <c r="N549" s="3" t="s">
        <v>198</v>
      </c>
    </row>
    <row r="550" customFormat="false" ht="13.8" hidden="false" customHeight="false" outlineLevel="0" collapsed="false">
      <c r="A550" s="3" t="n">
        <v>549</v>
      </c>
      <c r="B550" s="3" t="s">
        <v>594</v>
      </c>
      <c r="C550" s="3" t="s">
        <v>143</v>
      </c>
      <c r="D550" s="3" t="s">
        <v>198</v>
      </c>
      <c r="E550" s="25" t="s">
        <v>482</v>
      </c>
      <c r="F550" s="3" t="s">
        <v>105</v>
      </c>
      <c r="G550" s="3" t="s">
        <v>61</v>
      </c>
      <c r="J550" s="13"/>
      <c r="K550" s="13"/>
      <c r="L550" s="3" t="s">
        <v>257</v>
      </c>
      <c r="M550" s="3" t="s">
        <v>143</v>
      </c>
      <c r="N550" s="3" t="s">
        <v>198</v>
      </c>
    </row>
    <row r="551" customFormat="false" ht="13.8" hidden="false" customHeight="false" outlineLevel="0" collapsed="false">
      <c r="A551" s="3" t="n">
        <v>550</v>
      </c>
      <c r="B551" s="3" t="s">
        <v>754</v>
      </c>
      <c r="C551" s="3" t="s">
        <v>105</v>
      </c>
      <c r="D551" s="3" t="s">
        <v>77</v>
      </c>
      <c r="E551" s="25" t="s">
        <v>482</v>
      </c>
      <c r="F551" s="3" t="s">
        <v>105</v>
      </c>
      <c r="G551" s="3" t="s">
        <v>894</v>
      </c>
      <c r="J551" s="13" t="n">
        <f aca="false">_xlfn.IFS(F551="","",M551=F551,1,M551&lt;&gt;F551,0)</f>
        <v>1</v>
      </c>
      <c r="K551" s="13" t="n">
        <f aca="false">_xlfn.IFS(G551="","",N551=G551,1,N551&lt;&gt;G551,0)</f>
        <v>1</v>
      </c>
      <c r="L551" s="3"/>
      <c r="M551" s="3" t="s">
        <v>105</v>
      </c>
      <c r="N551" s="3" t="s">
        <v>894</v>
      </c>
    </row>
    <row r="552" customFormat="false" ht="13.8" hidden="false" customHeight="false" outlineLevel="0" collapsed="false">
      <c r="A552" s="3" t="n">
        <v>551</v>
      </c>
      <c r="B552" s="3" t="s">
        <v>445</v>
      </c>
      <c r="C552" s="3" t="s">
        <v>105</v>
      </c>
      <c r="D552" s="3" t="s">
        <v>61</v>
      </c>
      <c r="E552" s="25" t="s">
        <v>891</v>
      </c>
      <c r="F552" s="3" t="s">
        <v>164</v>
      </c>
      <c r="G552" s="3" t="s">
        <v>154</v>
      </c>
      <c r="J552" s="13" t="n">
        <f aca="false">_xlfn.IFS(F552="","",M552=F552,1,M552&lt;&gt;F552,0)</f>
        <v>0</v>
      </c>
      <c r="K552" s="13" t="n">
        <f aca="false">_xlfn.IFS(G552="","",N552=G552,1,N552&lt;&gt;G552,0)</f>
        <v>0</v>
      </c>
      <c r="L552" s="3"/>
      <c r="M552" s="3" t="s">
        <v>105</v>
      </c>
      <c r="N552" s="3" t="s">
        <v>61</v>
      </c>
    </row>
    <row r="553" customFormat="false" ht="13.8" hidden="false" customHeight="false" outlineLevel="0" collapsed="false">
      <c r="A553" s="3" t="n">
        <v>552</v>
      </c>
      <c r="B553" s="3" t="s">
        <v>861</v>
      </c>
      <c r="C553" s="3" t="s">
        <v>143</v>
      </c>
      <c r="D553" s="3" t="s">
        <v>198</v>
      </c>
      <c r="E553" s="25" t="s">
        <v>891</v>
      </c>
      <c r="F553" s="3" t="s">
        <v>164</v>
      </c>
      <c r="G553" s="3" t="s">
        <v>63</v>
      </c>
      <c r="J553" s="13"/>
      <c r="K553" s="13"/>
      <c r="L553" s="3" t="s">
        <v>257</v>
      </c>
      <c r="M553" s="3" t="s">
        <v>143</v>
      </c>
      <c r="N553" s="3" t="s">
        <v>198</v>
      </c>
    </row>
    <row r="554" customFormat="false" ht="13.8" hidden="false" customHeight="false" outlineLevel="0" collapsed="false">
      <c r="A554" s="3" t="n">
        <v>553</v>
      </c>
      <c r="B554" s="3" t="s">
        <v>846</v>
      </c>
      <c r="C554" s="3" t="s">
        <v>105</v>
      </c>
      <c r="D554" s="3" t="s">
        <v>61</v>
      </c>
      <c r="E554" s="25" t="s">
        <v>891</v>
      </c>
      <c r="F554" s="3" t="s">
        <v>164</v>
      </c>
      <c r="G554" s="3" t="s">
        <v>154</v>
      </c>
      <c r="J554" s="13" t="n">
        <f aca="false">_xlfn.IFS(F554="","",M554=F554,1,M554&lt;&gt;F554,0)</f>
        <v>0</v>
      </c>
      <c r="K554" s="13" t="n">
        <f aca="false">_xlfn.IFS(G554="","",N554=G554,1,N554&lt;&gt;G554,0)</f>
        <v>0</v>
      </c>
      <c r="L554" s="3"/>
      <c r="M554" s="3" t="s">
        <v>105</v>
      </c>
      <c r="N554" s="3" t="s">
        <v>61</v>
      </c>
    </row>
    <row r="555" customFormat="false" ht="13.8" hidden="false" customHeight="false" outlineLevel="0" collapsed="false">
      <c r="A555" s="3" t="n">
        <v>554</v>
      </c>
      <c r="B555" s="3" t="s">
        <v>823</v>
      </c>
      <c r="C555" s="3" t="s">
        <v>105</v>
      </c>
      <c r="D555" s="3" t="s">
        <v>61</v>
      </c>
      <c r="E555" s="25" t="s">
        <v>896</v>
      </c>
      <c r="F555" s="3"/>
      <c r="G555" s="3"/>
      <c r="J555" s="13" t="str">
        <f aca="false">_xlfn.IFS(F555="","",M555=F555,1,M555&lt;&gt;F555,0)</f>
        <v/>
      </c>
      <c r="K555" s="13" t="str">
        <f aca="false">_xlfn.IFS(G555="","",N555=G555,1,N555&lt;&gt;G555,0)</f>
        <v/>
      </c>
      <c r="L555" s="3"/>
      <c r="M555" s="3" t="s">
        <v>105</v>
      </c>
      <c r="N555" s="3" t="s">
        <v>61</v>
      </c>
    </row>
    <row r="556" customFormat="false" ht="13.8" hidden="false" customHeight="false" outlineLevel="0" collapsed="false">
      <c r="A556" s="3" t="n">
        <v>555</v>
      </c>
      <c r="B556" s="3" t="s">
        <v>303</v>
      </c>
      <c r="C556" s="3" t="s">
        <v>143</v>
      </c>
      <c r="D556" s="3" t="s">
        <v>198</v>
      </c>
      <c r="E556" s="25" t="s">
        <v>891</v>
      </c>
      <c r="F556" s="3" t="s">
        <v>164</v>
      </c>
      <c r="G556" s="3" t="s">
        <v>899</v>
      </c>
      <c r="J556" s="13"/>
      <c r="K556" s="13"/>
      <c r="L556" s="3" t="s">
        <v>257</v>
      </c>
      <c r="M556" s="3" t="s">
        <v>143</v>
      </c>
      <c r="N556" s="3" t="s">
        <v>198</v>
      </c>
    </row>
    <row r="557" customFormat="false" ht="13.8" hidden="false" customHeight="false" outlineLevel="0" collapsed="false">
      <c r="A557" s="3" t="n">
        <v>556</v>
      </c>
      <c r="B557" s="3" t="s">
        <v>816</v>
      </c>
      <c r="C557" s="3" t="s">
        <v>105</v>
      </c>
      <c r="D557" s="3" t="s">
        <v>61</v>
      </c>
      <c r="E557" s="25" t="s">
        <v>891</v>
      </c>
      <c r="F557" s="3" t="s">
        <v>164</v>
      </c>
      <c r="G557" s="3" t="s">
        <v>63</v>
      </c>
      <c r="J557" s="13" t="n">
        <f aca="false">_xlfn.IFS(F557="","",M557=F557,1,M557&lt;&gt;F557,0)</f>
        <v>0</v>
      </c>
      <c r="K557" s="13" t="n">
        <f aca="false">_xlfn.IFS(G557="","",N557=G557,1,N557&lt;&gt;G557,0)</f>
        <v>0</v>
      </c>
      <c r="L557" s="3"/>
      <c r="M557" s="3" t="s">
        <v>105</v>
      </c>
      <c r="N557" s="3" t="s">
        <v>61</v>
      </c>
    </row>
    <row r="558" customFormat="false" ht="13.8" hidden="false" customHeight="false" outlineLevel="0" collapsed="false">
      <c r="A558" s="3" t="n">
        <v>557</v>
      </c>
      <c r="B558" s="3" t="s">
        <v>501</v>
      </c>
      <c r="C558" s="3" t="s">
        <v>105</v>
      </c>
      <c r="D558" s="3" t="s">
        <v>61</v>
      </c>
      <c r="E558" s="25" t="s">
        <v>891</v>
      </c>
      <c r="F558" s="3" t="s">
        <v>164</v>
      </c>
      <c r="G558" s="3" t="s">
        <v>63</v>
      </c>
      <c r="J558" s="13" t="n">
        <f aca="false">_xlfn.IFS(F558="","",M558=F558,1,M558&lt;&gt;F558,0)</f>
        <v>0</v>
      </c>
      <c r="K558" s="13" t="n">
        <f aca="false">_xlfn.IFS(G558="","",N558=G558,1,N558&lt;&gt;G558,0)</f>
        <v>0</v>
      </c>
      <c r="L558" s="3"/>
      <c r="M558" s="3" t="s">
        <v>105</v>
      </c>
      <c r="N558" s="3" t="s">
        <v>61</v>
      </c>
    </row>
    <row r="559" customFormat="false" ht="13.8" hidden="false" customHeight="false" outlineLevel="0" collapsed="false">
      <c r="A559" s="3" t="n">
        <v>558</v>
      </c>
      <c r="B559" s="3" t="s">
        <v>770</v>
      </c>
      <c r="C559" s="3" t="s">
        <v>105</v>
      </c>
      <c r="D559" s="3" t="s">
        <v>61</v>
      </c>
      <c r="E559" s="25" t="s">
        <v>896</v>
      </c>
      <c r="F559" s="3"/>
      <c r="G559" s="3"/>
      <c r="J559" s="13" t="str">
        <f aca="false">_xlfn.IFS(F559="","",M559=F559,1,M559&lt;&gt;F559,0)</f>
        <v/>
      </c>
      <c r="K559" s="13" t="str">
        <f aca="false">_xlfn.IFS(G559="","",N559=G559,1,N559&lt;&gt;G559,0)</f>
        <v/>
      </c>
      <c r="L559" s="3"/>
      <c r="M559" s="3" t="s">
        <v>105</v>
      </c>
      <c r="N559" s="3" t="s">
        <v>61</v>
      </c>
    </row>
    <row r="560" customFormat="false" ht="13.8" hidden="false" customHeight="false" outlineLevel="0" collapsed="false">
      <c r="A560" s="3" t="n">
        <v>559</v>
      </c>
      <c r="B560" s="3" t="s">
        <v>248</v>
      </c>
      <c r="C560" s="3" t="s">
        <v>150</v>
      </c>
      <c r="D560" s="3" t="s">
        <v>75</v>
      </c>
      <c r="E560" s="25" t="s">
        <v>891</v>
      </c>
      <c r="F560" s="3" t="s">
        <v>164</v>
      </c>
      <c r="G560" s="3" t="s">
        <v>63</v>
      </c>
      <c r="J560" s="13"/>
      <c r="K560" s="13"/>
      <c r="L560" s="3" t="s">
        <v>257</v>
      </c>
      <c r="M560" s="3" t="s">
        <v>164</v>
      </c>
      <c r="N560" s="3" t="s">
        <v>75</v>
      </c>
    </row>
    <row r="561" customFormat="false" ht="13.8" hidden="false" customHeight="false" outlineLevel="0" collapsed="false">
      <c r="A561" s="3" t="n">
        <v>560</v>
      </c>
      <c r="B561" s="3" t="s">
        <v>617</v>
      </c>
      <c r="C561" s="3" t="s">
        <v>133</v>
      </c>
      <c r="D561" s="3" t="s">
        <v>65</v>
      </c>
      <c r="E561" s="25" t="s">
        <v>891</v>
      </c>
      <c r="F561" s="3" t="s">
        <v>164</v>
      </c>
      <c r="G561" s="3" t="s">
        <v>63</v>
      </c>
      <c r="J561" s="13"/>
      <c r="K561" s="13"/>
      <c r="L561" s="3" t="s">
        <v>257</v>
      </c>
      <c r="M561" s="3" t="s">
        <v>133</v>
      </c>
      <c r="N561" s="3" t="s">
        <v>65</v>
      </c>
    </row>
    <row r="562" customFormat="false" ht="13.8" hidden="false" customHeight="false" outlineLevel="0" collapsed="false">
      <c r="A562" s="3" t="n">
        <v>561</v>
      </c>
      <c r="B562" s="3" t="s">
        <v>756</v>
      </c>
      <c r="C562" s="3" t="s">
        <v>105</v>
      </c>
      <c r="D562" s="3" t="s">
        <v>77</v>
      </c>
      <c r="E562" s="25" t="s">
        <v>482</v>
      </c>
      <c r="F562" s="3" t="s">
        <v>105</v>
      </c>
      <c r="G562" s="3" t="s">
        <v>61</v>
      </c>
      <c r="J562" s="13" t="n">
        <f aca="false">_xlfn.IFS(F562="","",M562=F562,1,M562&lt;&gt;F562,0)</f>
        <v>1</v>
      </c>
      <c r="K562" s="13" t="n">
        <f aca="false">_xlfn.IFS(G562="","",N562=G562,1,N562&lt;&gt;G562,0)</f>
        <v>0</v>
      </c>
      <c r="L562" s="3"/>
      <c r="M562" s="3" t="s">
        <v>105</v>
      </c>
      <c r="N562" s="3" t="s">
        <v>894</v>
      </c>
    </row>
    <row r="563" customFormat="false" ht="13.8" hidden="false" customHeight="false" outlineLevel="0" collapsed="false">
      <c r="A563" s="3" t="n">
        <v>562</v>
      </c>
      <c r="B563" s="3" t="s">
        <v>249</v>
      </c>
      <c r="C563" s="3" t="s">
        <v>143</v>
      </c>
      <c r="D563" s="3" t="s">
        <v>198</v>
      </c>
      <c r="E563" s="25" t="s">
        <v>896</v>
      </c>
      <c r="F563" s="3"/>
      <c r="G563" s="3"/>
      <c r="J563" s="13"/>
      <c r="K563" s="13"/>
      <c r="L563" s="3" t="s">
        <v>257</v>
      </c>
      <c r="M563" s="3" t="s">
        <v>143</v>
      </c>
      <c r="N563" s="3" t="s">
        <v>198</v>
      </c>
    </row>
    <row r="564" customFormat="false" ht="13.8" hidden="false" customHeight="false" outlineLevel="0" collapsed="false">
      <c r="A564" s="3" t="n">
        <v>563</v>
      </c>
      <c r="B564" s="3" t="s">
        <v>444</v>
      </c>
      <c r="C564" s="3" t="s">
        <v>105</v>
      </c>
      <c r="D564" s="3" t="s">
        <v>61</v>
      </c>
      <c r="E564" s="25" t="s">
        <v>891</v>
      </c>
      <c r="F564" s="3" t="s">
        <v>164</v>
      </c>
      <c r="G564" s="3" t="s">
        <v>884</v>
      </c>
      <c r="J564" s="13" t="n">
        <f aca="false">_xlfn.IFS(F564="","",M564=F564,1,M564&lt;&gt;F564,0)</f>
        <v>0</v>
      </c>
      <c r="K564" s="13" t="n">
        <f aca="false">_xlfn.IFS(G564="","",N564=G564,1,N564&lt;&gt;G564,0)</f>
        <v>0</v>
      </c>
      <c r="L564" s="3"/>
      <c r="M564" s="3" t="s">
        <v>105</v>
      </c>
      <c r="N564" s="3" t="s">
        <v>61</v>
      </c>
    </row>
    <row r="565" customFormat="false" ht="13.8" hidden="false" customHeight="false" outlineLevel="0" collapsed="false">
      <c r="A565" s="3" t="n">
        <v>565</v>
      </c>
      <c r="B565" s="3" t="s">
        <v>724</v>
      </c>
      <c r="C565" s="3" t="s">
        <v>143</v>
      </c>
      <c r="D565" s="3" t="s">
        <v>589</v>
      </c>
      <c r="E565" s="25" t="s">
        <v>896</v>
      </c>
      <c r="F565" s="3"/>
      <c r="G565" s="3"/>
      <c r="J565" s="13" t="str">
        <f aca="false">_xlfn.IFS(F565="","",M565=F565,1,M565&lt;&gt;F565,0)</f>
        <v/>
      </c>
      <c r="K565" s="13" t="str">
        <f aca="false">_xlfn.IFS(G565="","",N565=G565,1,N565&lt;&gt;G565,0)</f>
        <v/>
      </c>
      <c r="L565" s="3"/>
      <c r="M565" s="3" t="s">
        <v>143</v>
      </c>
      <c r="N565" s="3" t="s">
        <v>589</v>
      </c>
    </row>
    <row r="566" customFormat="false" ht="13.8" hidden="false" customHeight="false" outlineLevel="0" collapsed="false">
      <c r="A566" s="3" t="n">
        <v>566</v>
      </c>
      <c r="B566" s="3" t="s">
        <v>841</v>
      </c>
      <c r="C566" s="3" t="s">
        <v>143</v>
      </c>
      <c r="D566" s="3" t="s">
        <v>351</v>
      </c>
      <c r="E566" s="25" t="s">
        <v>482</v>
      </c>
      <c r="F566" s="3" t="s">
        <v>143</v>
      </c>
      <c r="G566" s="3" t="s">
        <v>160</v>
      </c>
      <c r="J566" s="13"/>
      <c r="K566" s="13"/>
      <c r="L566" s="3" t="s">
        <v>257</v>
      </c>
      <c r="M566" s="3" t="s">
        <v>143</v>
      </c>
      <c r="N566" s="3" t="s">
        <v>351</v>
      </c>
    </row>
    <row r="567" customFormat="false" ht="13.8" hidden="false" customHeight="false" outlineLevel="0" collapsed="false">
      <c r="A567" s="3" t="n">
        <v>567</v>
      </c>
      <c r="B567" s="3" t="s">
        <v>250</v>
      </c>
      <c r="C567" s="3" t="s">
        <v>143</v>
      </c>
      <c r="D567" s="3" t="s">
        <v>198</v>
      </c>
      <c r="E567" s="25" t="s">
        <v>482</v>
      </c>
      <c r="F567" s="3" t="s">
        <v>143</v>
      </c>
      <c r="G567" s="3" t="s">
        <v>160</v>
      </c>
      <c r="J567" s="13"/>
      <c r="K567" s="13"/>
      <c r="L567" s="3" t="s">
        <v>257</v>
      </c>
      <c r="M567" s="3" t="s">
        <v>143</v>
      </c>
      <c r="N567" s="3" t="s">
        <v>198</v>
      </c>
    </row>
    <row r="568" customFormat="false" ht="13.8" hidden="false" customHeight="false" outlineLevel="0" collapsed="false">
      <c r="A568" s="3" t="n">
        <v>568</v>
      </c>
      <c r="B568" s="3" t="s">
        <v>304</v>
      </c>
      <c r="C568" s="3" t="s">
        <v>105</v>
      </c>
      <c r="D568" s="3" t="s">
        <v>61</v>
      </c>
      <c r="E568" s="25" t="s">
        <v>482</v>
      </c>
      <c r="F568" s="3" t="s">
        <v>105</v>
      </c>
      <c r="G568" s="3" t="s">
        <v>894</v>
      </c>
      <c r="J568" s="13" t="n">
        <f aca="false">_xlfn.IFS(F568="","",M568=F568,1,M568&lt;&gt;F568,0)</f>
        <v>1</v>
      </c>
      <c r="K568" s="13" t="n">
        <f aca="false">_xlfn.IFS(G568="","",N568=G568,1,N568&lt;&gt;G568,0)</f>
        <v>0</v>
      </c>
      <c r="L568" s="3"/>
      <c r="M568" s="3" t="s">
        <v>105</v>
      </c>
      <c r="N568" s="3" t="s">
        <v>61</v>
      </c>
    </row>
    <row r="569" customFormat="false" ht="13.8" hidden="false" customHeight="false" outlineLevel="0" collapsed="false">
      <c r="A569" s="3" t="n">
        <v>569</v>
      </c>
      <c r="B569" s="3" t="s">
        <v>251</v>
      </c>
      <c r="C569" s="3" t="s">
        <v>150</v>
      </c>
      <c r="D569" s="3" t="s">
        <v>75</v>
      </c>
      <c r="E569" s="25" t="s">
        <v>891</v>
      </c>
      <c r="F569" s="3" t="s">
        <v>164</v>
      </c>
      <c r="G569" s="3" t="s">
        <v>63</v>
      </c>
      <c r="J569" s="13"/>
      <c r="K569" s="13"/>
      <c r="L569" s="3" t="s">
        <v>257</v>
      </c>
      <c r="M569" s="3" t="s">
        <v>164</v>
      </c>
      <c r="N569" s="3" t="s">
        <v>75</v>
      </c>
    </row>
    <row r="570" customFormat="false" ht="13.8" hidden="false" customHeight="false" outlineLevel="0" collapsed="false">
      <c r="A570" s="3" t="n">
        <v>570</v>
      </c>
      <c r="B570" s="3" t="s">
        <v>252</v>
      </c>
      <c r="C570" s="3" t="s">
        <v>105</v>
      </c>
      <c r="D570" s="3" t="s">
        <v>61</v>
      </c>
      <c r="E570" s="25" t="s">
        <v>482</v>
      </c>
      <c r="F570" s="3" t="s">
        <v>105</v>
      </c>
      <c r="G570" s="3" t="s">
        <v>894</v>
      </c>
      <c r="J570" s="13" t="n">
        <f aca="false">_xlfn.IFS(F570="","",M570=F570,1,M570&lt;&gt;F570,0)</f>
        <v>1</v>
      </c>
      <c r="K570" s="13" t="n">
        <f aca="false">_xlfn.IFS(G570="","",N570=G570,1,N570&lt;&gt;G570,0)</f>
        <v>0</v>
      </c>
      <c r="L570" s="3"/>
      <c r="M570" s="3" t="s">
        <v>105</v>
      </c>
      <c r="N570" s="3" t="s">
        <v>61</v>
      </c>
    </row>
    <row r="571" customFormat="false" ht="13.8" hidden="false" customHeight="false" outlineLevel="0" collapsed="false">
      <c r="A571" s="3" t="n">
        <v>572</v>
      </c>
      <c r="B571" s="3" t="s">
        <v>647</v>
      </c>
      <c r="C571" s="3" t="s">
        <v>150</v>
      </c>
      <c r="D571" s="3" t="s">
        <v>245</v>
      </c>
      <c r="E571" s="25" t="s">
        <v>891</v>
      </c>
      <c r="F571" s="3" t="s">
        <v>164</v>
      </c>
      <c r="G571" s="3" t="s">
        <v>63</v>
      </c>
      <c r="J571" s="13" t="n">
        <f aca="false">_xlfn.IFS(F571="","",M571=F571,1,M571&lt;&gt;F571,0)</f>
        <v>1</v>
      </c>
      <c r="K571" s="13" t="n">
        <f aca="false">_xlfn.IFS(G571="","",N571=G571,1,N571&lt;&gt;G571,0)</f>
        <v>0</v>
      </c>
      <c r="L571" s="3"/>
      <c r="M571" s="3" t="s">
        <v>164</v>
      </c>
      <c r="N571" s="3" t="s">
        <v>899</v>
      </c>
    </row>
    <row r="572" customFormat="false" ht="13.8" hidden="false" customHeight="false" outlineLevel="0" collapsed="false">
      <c r="A572" s="3" t="n">
        <v>573</v>
      </c>
      <c r="B572" s="3" t="s">
        <v>495</v>
      </c>
      <c r="C572" s="3" t="s">
        <v>143</v>
      </c>
      <c r="D572" s="3" t="s">
        <v>198</v>
      </c>
      <c r="E572" s="25" t="s">
        <v>896</v>
      </c>
      <c r="F572" s="3"/>
      <c r="G572" s="3"/>
      <c r="J572" s="13"/>
      <c r="K572" s="13"/>
      <c r="L572" s="3" t="s">
        <v>257</v>
      </c>
      <c r="M572" s="3" t="s">
        <v>143</v>
      </c>
      <c r="N572" s="3" t="s">
        <v>198</v>
      </c>
    </row>
    <row r="573" customFormat="false" ht="13.8" hidden="false" customHeight="false" outlineLevel="0" collapsed="false">
      <c r="A573" s="3" t="n">
        <v>574</v>
      </c>
      <c r="B573" s="3" t="s">
        <v>844</v>
      </c>
      <c r="C573" s="3" t="s">
        <v>143</v>
      </c>
      <c r="D573" s="3" t="s">
        <v>351</v>
      </c>
      <c r="E573" s="25" t="s">
        <v>891</v>
      </c>
      <c r="F573" s="3" t="s">
        <v>164</v>
      </c>
      <c r="G573" s="3" t="s">
        <v>154</v>
      </c>
      <c r="J573" s="13"/>
      <c r="K573" s="13"/>
      <c r="L573" s="3" t="s">
        <v>257</v>
      </c>
      <c r="M573" s="3" t="s">
        <v>143</v>
      </c>
      <c r="N573" s="3" t="s">
        <v>351</v>
      </c>
    </row>
    <row r="574" customFormat="false" ht="13.8" hidden="false" customHeight="false" outlineLevel="0" collapsed="false">
      <c r="A574" s="3" t="n">
        <v>575</v>
      </c>
      <c r="B574" s="3" t="s">
        <v>430</v>
      </c>
      <c r="C574" s="3" t="s">
        <v>150</v>
      </c>
      <c r="D574" s="3" t="s">
        <v>254</v>
      </c>
      <c r="E574" s="25" t="s">
        <v>482</v>
      </c>
      <c r="F574" s="3" t="s">
        <v>105</v>
      </c>
      <c r="G574" s="3" t="s">
        <v>894</v>
      </c>
      <c r="J574" s="13" t="n">
        <f aca="false">_xlfn.IFS(F574="","",M574=F574,1,M574&lt;&gt;F574,0)</f>
        <v>0</v>
      </c>
      <c r="K574" s="13" t="n">
        <f aca="false">_xlfn.IFS(G574="","",N574=G574,1,N574&lt;&gt;G574,0)</f>
        <v>0</v>
      </c>
      <c r="L574" s="3"/>
      <c r="M574" s="3" t="s">
        <v>164</v>
      </c>
      <c r="N574" s="3" t="s">
        <v>154</v>
      </c>
    </row>
    <row r="575" customFormat="false" ht="13.8" hidden="false" customHeight="false" outlineLevel="0" collapsed="false">
      <c r="A575" s="3" t="n">
        <v>576</v>
      </c>
      <c r="B575" s="3" t="s">
        <v>716</v>
      </c>
      <c r="C575" s="3" t="s">
        <v>143</v>
      </c>
      <c r="D575" s="3" t="s">
        <v>589</v>
      </c>
      <c r="E575" s="25" t="s">
        <v>891</v>
      </c>
      <c r="F575" s="3" t="s">
        <v>164</v>
      </c>
      <c r="G575" s="3" t="s">
        <v>63</v>
      </c>
      <c r="J575" s="13" t="n">
        <f aca="false">_xlfn.IFS(F575="","",M575=F575,1,M575&lt;&gt;F575,0)</f>
        <v>0</v>
      </c>
      <c r="K575" s="13" t="n">
        <f aca="false">_xlfn.IFS(G575="","",N575=G575,1,N575&lt;&gt;G575,0)</f>
        <v>0</v>
      </c>
      <c r="L575" s="3"/>
      <c r="M575" s="3" t="s">
        <v>143</v>
      </c>
      <c r="N575" s="3" t="s">
        <v>589</v>
      </c>
    </row>
    <row r="576" customFormat="false" ht="13.8" hidden="false" customHeight="false" outlineLevel="0" collapsed="false">
      <c r="A576" s="3" t="n">
        <v>577</v>
      </c>
      <c r="B576" s="3" t="s">
        <v>856</v>
      </c>
      <c r="C576" s="3" t="s">
        <v>143</v>
      </c>
      <c r="D576" s="3" t="s">
        <v>351</v>
      </c>
      <c r="E576" s="25" t="s">
        <v>891</v>
      </c>
      <c r="F576" s="3" t="s">
        <v>164</v>
      </c>
      <c r="G576" s="3" t="s">
        <v>154</v>
      </c>
      <c r="J576" s="13"/>
      <c r="K576" s="13"/>
      <c r="L576" s="3" t="s">
        <v>257</v>
      </c>
      <c r="M576" s="3" t="s">
        <v>143</v>
      </c>
      <c r="N576" s="3" t="s">
        <v>351</v>
      </c>
    </row>
    <row r="577" customFormat="false" ht="13.8" hidden="false" customHeight="false" outlineLevel="0" collapsed="false">
      <c r="A577" s="3" t="n">
        <v>578</v>
      </c>
      <c r="B577" s="3" t="s">
        <v>305</v>
      </c>
      <c r="C577" s="3" t="s">
        <v>133</v>
      </c>
      <c r="D577" s="3" t="s">
        <v>65</v>
      </c>
      <c r="E577" s="25" t="s">
        <v>891</v>
      </c>
      <c r="F577" s="3" t="s">
        <v>164</v>
      </c>
      <c r="G577" s="3" t="s">
        <v>63</v>
      </c>
      <c r="J577" s="13"/>
      <c r="K577" s="13"/>
      <c r="L577" s="3" t="s">
        <v>257</v>
      </c>
      <c r="M577" s="3" t="s">
        <v>133</v>
      </c>
      <c r="N577" s="3" t="s">
        <v>65</v>
      </c>
    </row>
    <row r="578" customFormat="false" ht="13.8" hidden="false" customHeight="false" outlineLevel="0" collapsed="false">
      <c r="A578" s="3" t="n">
        <v>579</v>
      </c>
      <c r="B578" s="3" t="s">
        <v>253</v>
      </c>
      <c r="C578" s="3" t="s">
        <v>150</v>
      </c>
      <c r="D578" s="3" t="s">
        <v>254</v>
      </c>
      <c r="E578" s="25" t="s">
        <v>891</v>
      </c>
      <c r="F578" s="3" t="s">
        <v>164</v>
      </c>
      <c r="G578" s="3" t="s">
        <v>63</v>
      </c>
      <c r="J578" s="13" t="n">
        <f aca="false">_xlfn.IFS(F578="","",M578=F578,1,M578&lt;&gt;F578,0)</f>
        <v>1</v>
      </c>
      <c r="K578" s="13" t="n">
        <f aca="false">_xlfn.IFS(G578="","",N578=G578,1,N578&lt;&gt;G578,0)</f>
        <v>0</v>
      </c>
      <c r="L578" s="3"/>
      <c r="M578" s="3" t="s">
        <v>164</v>
      </c>
      <c r="N578" s="3" t="s">
        <v>154</v>
      </c>
    </row>
    <row r="579" customFormat="false" ht="13.8" hidden="false" customHeight="false" outlineLevel="0" collapsed="false">
      <c r="A579" s="3" t="n">
        <v>580</v>
      </c>
      <c r="B579" s="3" t="s">
        <v>459</v>
      </c>
      <c r="C579" s="3" t="s">
        <v>105</v>
      </c>
      <c r="D579" s="3" t="s">
        <v>77</v>
      </c>
      <c r="E579" s="25" t="s">
        <v>482</v>
      </c>
      <c r="F579" s="3" t="s">
        <v>105</v>
      </c>
      <c r="G579" s="3" t="s">
        <v>61</v>
      </c>
      <c r="J579" s="13" t="n">
        <f aca="false">_xlfn.IFS(F579="","",M579=F579,1,M579&lt;&gt;F579,0)</f>
        <v>1</v>
      </c>
      <c r="K579" s="13" t="n">
        <f aca="false">_xlfn.IFS(G579="","",N579=G579,1,N579&lt;&gt;G579,0)</f>
        <v>0</v>
      </c>
      <c r="L579" s="3"/>
      <c r="M579" s="3" t="s">
        <v>105</v>
      </c>
      <c r="N579" s="3" t="s">
        <v>894</v>
      </c>
    </row>
    <row r="580" customFormat="false" ht="13.8" hidden="false" customHeight="false" outlineLevel="0" collapsed="false">
      <c r="A580" s="3" t="n">
        <v>581</v>
      </c>
      <c r="B580" s="3" t="s">
        <v>673</v>
      </c>
      <c r="C580" s="3" t="s">
        <v>105</v>
      </c>
      <c r="D580" s="3" t="s">
        <v>55</v>
      </c>
      <c r="E580" s="25" t="s">
        <v>896</v>
      </c>
      <c r="F580" s="3"/>
      <c r="G580" s="3"/>
      <c r="J580" s="13" t="str">
        <f aca="false">_xlfn.IFS(F580="","",M580=F580,1,M580&lt;&gt;F580,0)</f>
        <v/>
      </c>
      <c r="K580" s="13" t="str">
        <f aca="false">_xlfn.IFS(G580="","",N580=G580,1,N580&lt;&gt;G580,0)</f>
        <v/>
      </c>
      <c r="L580" s="3"/>
      <c r="M580" s="3" t="s">
        <v>105</v>
      </c>
      <c r="N580" s="3" t="s">
        <v>55</v>
      </c>
    </row>
    <row r="581" customFormat="false" ht="13.8" hidden="false" customHeight="false" outlineLevel="0" collapsed="false">
      <c r="A581" s="3" t="n">
        <v>582</v>
      </c>
      <c r="B581" s="3" t="s">
        <v>486</v>
      </c>
      <c r="C581" s="3" t="s">
        <v>105</v>
      </c>
      <c r="D581" s="3" t="s">
        <v>77</v>
      </c>
      <c r="E581" s="25" t="s">
        <v>482</v>
      </c>
      <c r="F581" s="3" t="s">
        <v>105</v>
      </c>
      <c r="G581" s="3" t="s">
        <v>61</v>
      </c>
      <c r="J581" s="13" t="n">
        <f aca="false">_xlfn.IFS(F581="","",M581=F581,1,M581&lt;&gt;F581,0)</f>
        <v>1</v>
      </c>
      <c r="K581" s="13" t="n">
        <f aca="false">_xlfn.IFS(G581="","",N581=G581,1,N581&lt;&gt;G581,0)</f>
        <v>0</v>
      </c>
      <c r="L581" s="3"/>
      <c r="M581" s="3" t="s">
        <v>105</v>
      </c>
      <c r="N581" s="3" t="s">
        <v>894</v>
      </c>
    </row>
    <row r="582" customFormat="false" ht="13.8" hidden="false" customHeight="false" outlineLevel="0" collapsed="false">
      <c r="A582" s="3" t="n">
        <v>583</v>
      </c>
      <c r="B582" s="3" t="s">
        <v>623</v>
      </c>
      <c r="C582" s="3" t="s">
        <v>105</v>
      </c>
      <c r="D582" s="3" t="s">
        <v>61</v>
      </c>
      <c r="E582" s="25" t="s">
        <v>891</v>
      </c>
      <c r="F582" s="3" t="s">
        <v>164</v>
      </c>
      <c r="G582" s="3" t="s">
        <v>154</v>
      </c>
      <c r="J582" s="13" t="n">
        <f aca="false">_xlfn.IFS(F582="","",M582=F582,1,M582&lt;&gt;F582,0)</f>
        <v>0</v>
      </c>
      <c r="K582" s="13" t="n">
        <f aca="false">_xlfn.IFS(G582="","",N582=G582,1,N582&lt;&gt;G582,0)</f>
        <v>0</v>
      </c>
      <c r="L582" s="3"/>
      <c r="M582" s="3" t="s">
        <v>105</v>
      </c>
      <c r="N582" s="3" t="s">
        <v>61</v>
      </c>
    </row>
    <row r="583" customFormat="false" ht="13.8" hidden="false" customHeight="false" outlineLevel="0" collapsed="false">
      <c r="A583" s="3" t="n">
        <v>584</v>
      </c>
      <c r="B583" s="3" t="s">
        <v>763</v>
      </c>
      <c r="C583" s="3" t="s">
        <v>105</v>
      </c>
      <c r="D583" s="3" t="s">
        <v>77</v>
      </c>
      <c r="E583" s="25" t="s">
        <v>891</v>
      </c>
      <c r="F583" s="3" t="s">
        <v>164</v>
      </c>
      <c r="G583" s="3" t="s">
        <v>899</v>
      </c>
      <c r="J583" s="13" t="n">
        <f aca="false">_xlfn.IFS(F583="","",M583=F583,1,M583&lt;&gt;F583,0)</f>
        <v>0</v>
      </c>
      <c r="K583" s="13" t="n">
        <f aca="false">_xlfn.IFS(G583="","",N583=G583,1,N583&lt;&gt;G583,0)</f>
        <v>0</v>
      </c>
      <c r="L583" s="3"/>
      <c r="M583" s="3" t="s">
        <v>105</v>
      </c>
      <c r="N583" s="3" t="s">
        <v>894</v>
      </c>
    </row>
    <row r="584" customFormat="false" ht="13.8" hidden="false" customHeight="false" outlineLevel="0" collapsed="false">
      <c r="A584" s="3" t="n">
        <v>585</v>
      </c>
      <c r="B584" s="3" t="s">
        <v>742</v>
      </c>
      <c r="C584" s="3" t="s">
        <v>105</v>
      </c>
      <c r="D584" s="3" t="s">
        <v>61</v>
      </c>
      <c r="E584" s="25" t="s">
        <v>896</v>
      </c>
      <c r="F584" s="3"/>
      <c r="G584" s="3"/>
      <c r="J584" s="13" t="str">
        <f aca="false">_xlfn.IFS(F584="","",M584=F584,1,M584&lt;&gt;F584,0)</f>
        <v/>
      </c>
      <c r="K584" s="13" t="str">
        <f aca="false">_xlfn.IFS(G584="","",N584=G584,1,N584&lt;&gt;G584,0)</f>
        <v/>
      </c>
      <c r="L584" s="3"/>
      <c r="M584" s="3" t="s">
        <v>105</v>
      </c>
      <c r="N584" s="3" t="s">
        <v>61</v>
      </c>
    </row>
    <row r="585" customFormat="false" ht="13.8" hidden="false" customHeight="false" outlineLevel="0" collapsed="false">
      <c r="A585" s="3" t="n">
        <v>586</v>
      </c>
      <c r="B585" s="3" t="s">
        <v>255</v>
      </c>
      <c r="C585" s="3" t="s">
        <v>143</v>
      </c>
      <c r="D585" s="3" t="s">
        <v>256</v>
      </c>
      <c r="E585" s="25" t="s">
        <v>891</v>
      </c>
      <c r="F585" s="3" t="s">
        <v>164</v>
      </c>
      <c r="G585" s="3" t="s">
        <v>899</v>
      </c>
      <c r="J585" s="13"/>
      <c r="K585" s="13"/>
      <c r="L585" s="3" t="s">
        <v>257</v>
      </c>
      <c r="M585" s="3" t="s">
        <v>143</v>
      </c>
      <c r="N585" s="3" t="s">
        <v>256</v>
      </c>
    </row>
    <row r="586" customFormat="false" ht="13.8" hidden="false" customHeight="false" outlineLevel="0" collapsed="false">
      <c r="A586" s="3" t="n">
        <v>587</v>
      </c>
      <c r="B586" s="3" t="s">
        <v>258</v>
      </c>
      <c r="C586" s="3" t="s">
        <v>150</v>
      </c>
      <c r="D586" s="3" t="s">
        <v>245</v>
      </c>
      <c r="E586" s="25" t="s">
        <v>891</v>
      </c>
      <c r="F586" s="3" t="s">
        <v>164</v>
      </c>
      <c r="G586" s="3" t="s">
        <v>899</v>
      </c>
      <c r="J586" s="13" t="n">
        <f aca="false">_xlfn.IFS(F586="","",M586=F586,1,M586&lt;&gt;F586,0)</f>
        <v>1</v>
      </c>
      <c r="K586" s="13" t="n">
        <f aca="false">_xlfn.IFS(G586="","",N586=G586,1,N586&lt;&gt;G586,0)</f>
        <v>1</v>
      </c>
      <c r="L586" s="3"/>
      <c r="M586" s="3" t="s">
        <v>164</v>
      </c>
      <c r="N586" s="3" t="s">
        <v>899</v>
      </c>
    </row>
    <row r="587" customFormat="false" ht="13.8" hidden="false" customHeight="false" outlineLevel="0" collapsed="false">
      <c r="A587" s="3" t="n">
        <v>588</v>
      </c>
      <c r="B587" s="3" t="s">
        <v>259</v>
      </c>
      <c r="C587" s="3" t="s">
        <v>143</v>
      </c>
      <c r="D587" s="3" t="s">
        <v>198</v>
      </c>
      <c r="E587" s="25" t="s">
        <v>891</v>
      </c>
      <c r="F587" s="3" t="s">
        <v>164</v>
      </c>
      <c r="G587" s="3" t="s">
        <v>884</v>
      </c>
      <c r="J587" s="13"/>
      <c r="K587" s="13"/>
      <c r="L587" s="3" t="s">
        <v>257</v>
      </c>
      <c r="M587" s="3" t="s">
        <v>143</v>
      </c>
      <c r="N587" s="3" t="s">
        <v>198</v>
      </c>
    </row>
    <row r="588" customFormat="false" ht="13.8" hidden="false" customHeight="false" outlineLevel="0" collapsed="false">
      <c r="A588" s="3" t="n">
        <v>589</v>
      </c>
      <c r="B588" s="3" t="s">
        <v>653</v>
      </c>
      <c r="C588" s="3" t="s">
        <v>105</v>
      </c>
      <c r="D588" s="3" t="s">
        <v>77</v>
      </c>
      <c r="E588" s="25" t="s">
        <v>896</v>
      </c>
      <c r="F588" s="3"/>
      <c r="G588" s="3"/>
      <c r="J588" s="13" t="str">
        <f aca="false">_xlfn.IFS(F588="","",M588=F588,1,M588&lt;&gt;F588,0)</f>
        <v/>
      </c>
      <c r="K588" s="13" t="str">
        <f aca="false">_xlfn.IFS(G588="","",N588=G588,1,N588&lt;&gt;G588,0)</f>
        <v/>
      </c>
      <c r="L588" s="3"/>
      <c r="M588" s="3" t="s">
        <v>105</v>
      </c>
      <c r="N588" s="3" t="s">
        <v>894</v>
      </c>
    </row>
    <row r="589" customFormat="false" ht="13.8" hidden="false" customHeight="false" outlineLevel="0" collapsed="false">
      <c r="A589" s="3" t="n">
        <v>590</v>
      </c>
      <c r="B589" s="3" t="s">
        <v>738</v>
      </c>
      <c r="C589" s="3" t="s">
        <v>143</v>
      </c>
      <c r="D589" s="3" t="s">
        <v>198</v>
      </c>
      <c r="E589" s="25" t="s">
        <v>482</v>
      </c>
      <c r="F589" s="3" t="s">
        <v>105</v>
      </c>
      <c r="G589" s="3" t="s">
        <v>61</v>
      </c>
      <c r="J589" s="13"/>
      <c r="K589" s="13"/>
      <c r="L589" s="3" t="s">
        <v>257</v>
      </c>
      <c r="M589" s="3" t="s">
        <v>143</v>
      </c>
      <c r="N589" s="3" t="s">
        <v>198</v>
      </c>
    </row>
    <row r="590" customFormat="false" ht="13.8" hidden="false" customHeight="false" outlineLevel="0" collapsed="false">
      <c r="A590" s="3" t="n">
        <v>591</v>
      </c>
      <c r="B590" s="3" t="s">
        <v>785</v>
      </c>
      <c r="C590" s="3" t="s">
        <v>150</v>
      </c>
      <c r="D590" s="3" t="s">
        <v>75</v>
      </c>
      <c r="E590" s="25" t="s">
        <v>891</v>
      </c>
      <c r="F590" s="3" t="s">
        <v>164</v>
      </c>
      <c r="G590" s="3" t="s">
        <v>893</v>
      </c>
      <c r="J590" s="13"/>
      <c r="K590" s="13"/>
      <c r="L590" s="3" t="s">
        <v>257</v>
      </c>
      <c r="M590" s="3" t="s">
        <v>164</v>
      </c>
      <c r="N590" s="3" t="s">
        <v>75</v>
      </c>
    </row>
    <row r="591" customFormat="false" ht="13.8" hidden="false" customHeight="false" outlineLevel="0" collapsed="false">
      <c r="A591" s="3" t="n">
        <v>592</v>
      </c>
      <c r="B591" s="3" t="s">
        <v>614</v>
      </c>
      <c r="C591" s="3" t="s">
        <v>105</v>
      </c>
      <c r="D591" s="3" t="s">
        <v>61</v>
      </c>
      <c r="E591" s="25" t="s">
        <v>482</v>
      </c>
      <c r="F591" s="3" t="s">
        <v>143</v>
      </c>
      <c r="G591" s="3" t="s">
        <v>160</v>
      </c>
      <c r="J591" s="13" t="n">
        <f aca="false">_xlfn.IFS(F591="","",M591=F591,1,M591&lt;&gt;F591,0)</f>
        <v>0</v>
      </c>
      <c r="K591" s="13" t="n">
        <f aca="false">_xlfn.IFS(G591="","",N591=G591,1,N591&lt;&gt;G591,0)</f>
        <v>0</v>
      </c>
      <c r="L591" s="3"/>
      <c r="M591" s="3" t="s">
        <v>105</v>
      </c>
      <c r="N591" s="3" t="s">
        <v>61</v>
      </c>
    </row>
    <row r="592" customFormat="false" ht="13.8" hidden="false" customHeight="false" outlineLevel="0" collapsed="false">
      <c r="A592" s="3" t="n">
        <v>593</v>
      </c>
      <c r="B592" s="3" t="s">
        <v>404</v>
      </c>
      <c r="C592" s="3" t="s">
        <v>143</v>
      </c>
      <c r="D592" s="3" t="s">
        <v>256</v>
      </c>
      <c r="E592" s="25" t="s">
        <v>482</v>
      </c>
      <c r="F592" s="3" t="s">
        <v>105</v>
      </c>
      <c r="G592" s="3" t="s">
        <v>61</v>
      </c>
      <c r="J592" s="13"/>
      <c r="K592" s="13"/>
      <c r="L592" s="3" t="s">
        <v>257</v>
      </c>
      <c r="M592" s="3" t="s">
        <v>143</v>
      </c>
      <c r="N592" s="3" t="s">
        <v>256</v>
      </c>
    </row>
    <row r="593" customFormat="false" ht="13.8" hidden="false" customHeight="false" outlineLevel="0" collapsed="false">
      <c r="A593" s="3" t="n">
        <v>594</v>
      </c>
      <c r="B593" s="3" t="s">
        <v>752</v>
      </c>
      <c r="C593" s="3" t="s">
        <v>105</v>
      </c>
      <c r="D593" s="3" t="s">
        <v>61</v>
      </c>
      <c r="E593" s="25" t="s">
        <v>482</v>
      </c>
      <c r="F593" s="3" t="s">
        <v>105</v>
      </c>
      <c r="G593" s="3" t="s">
        <v>61</v>
      </c>
      <c r="J593" s="13" t="n">
        <f aca="false">_xlfn.IFS(F593="","",M593=F593,1,M593&lt;&gt;F593,0)</f>
        <v>1</v>
      </c>
      <c r="K593" s="13" t="n">
        <f aca="false">_xlfn.IFS(G593="","",N593=G593,1,N593&lt;&gt;G593,0)</f>
        <v>1</v>
      </c>
      <c r="L593" s="3"/>
      <c r="M593" s="3" t="s">
        <v>105</v>
      </c>
      <c r="N593" s="3" t="s">
        <v>61</v>
      </c>
    </row>
    <row r="594" customFormat="false" ht="13.8" hidden="false" customHeight="false" outlineLevel="0" collapsed="false">
      <c r="A594" s="3" t="n">
        <v>595</v>
      </c>
      <c r="B594" s="3" t="s">
        <v>645</v>
      </c>
      <c r="C594" s="3" t="s">
        <v>105</v>
      </c>
      <c r="D594" s="3" t="s">
        <v>77</v>
      </c>
      <c r="E594" s="25" t="s">
        <v>891</v>
      </c>
      <c r="F594" s="3" t="s">
        <v>164</v>
      </c>
      <c r="G594" s="3" t="s">
        <v>899</v>
      </c>
      <c r="J594" s="13" t="n">
        <f aca="false">_xlfn.IFS(F594="","",M594=F594,1,M594&lt;&gt;F594,0)</f>
        <v>0</v>
      </c>
      <c r="K594" s="13" t="n">
        <f aca="false">_xlfn.IFS(G594="","",N594=G594,1,N594&lt;&gt;G594,0)</f>
        <v>0</v>
      </c>
      <c r="L594" s="3"/>
      <c r="M594" s="3" t="s">
        <v>105</v>
      </c>
      <c r="N594" s="3" t="s">
        <v>894</v>
      </c>
    </row>
    <row r="595" customFormat="false" ht="13.8" hidden="false" customHeight="false" outlineLevel="0" collapsed="false">
      <c r="A595" s="3" t="n">
        <v>596</v>
      </c>
      <c r="B595" s="3" t="s">
        <v>739</v>
      </c>
      <c r="C595" s="3" t="s">
        <v>105</v>
      </c>
      <c r="D595" s="3" t="s">
        <v>61</v>
      </c>
      <c r="E595" s="25" t="s">
        <v>482</v>
      </c>
      <c r="F595" s="3" t="s">
        <v>105</v>
      </c>
      <c r="G595" s="3" t="s">
        <v>894</v>
      </c>
      <c r="J595" s="13" t="n">
        <f aca="false">_xlfn.IFS(F595="","",M595=F595,1,M595&lt;&gt;F595,0)</f>
        <v>1</v>
      </c>
      <c r="K595" s="13" t="n">
        <f aca="false">_xlfn.IFS(G595="","",N595=G595,1,N595&lt;&gt;G595,0)</f>
        <v>0</v>
      </c>
      <c r="L595" s="3"/>
      <c r="M595" s="3" t="s">
        <v>105</v>
      </c>
      <c r="N595" s="3" t="s">
        <v>61</v>
      </c>
    </row>
    <row r="596" customFormat="false" ht="13.8" hidden="false" customHeight="false" outlineLevel="0" collapsed="false">
      <c r="A596" s="3" t="n">
        <v>597</v>
      </c>
      <c r="B596" s="3" t="s">
        <v>393</v>
      </c>
      <c r="C596" s="3" t="s">
        <v>143</v>
      </c>
      <c r="D596" s="3" t="s">
        <v>198</v>
      </c>
      <c r="E596" s="25" t="s">
        <v>482</v>
      </c>
      <c r="F596" s="3" t="s">
        <v>143</v>
      </c>
      <c r="G596" s="3" t="s">
        <v>160</v>
      </c>
      <c r="J596" s="13"/>
      <c r="K596" s="13"/>
      <c r="L596" s="3" t="s">
        <v>257</v>
      </c>
      <c r="M596" s="3" t="s">
        <v>143</v>
      </c>
      <c r="N596" s="3" t="s">
        <v>198</v>
      </c>
    </row>
    <row r="597" customFormat="false" ht="13.8" hidden="false" customHeight="false" outlineLevel="0" collapsed="false">
      <c r="A597" s="3" t="n">
        <v>598</v>
      </c>
      <c r="B597" s="3" t="s">
        <v>801</v>
      </c>
      <c r="C597" s="3" t="s">
        <v>105</v>
      </c>
      <c r="D597" s="3" t="s">
        <v>55</v>
      </c>
      <c r="E597" s="25" t="s">
        <v>891</v>
      </c>
      <c r="F597" s="3" t="s">
        <v>164</v>
      </c>
      <c r="G597" s="3" t="s">
        <v>884</v>
      </c>
      <c r="J597" s="13" t="n">
        <f aca="false">_xlfn.IFS(F597="","",M597=F597,1,M597&lt;&gt;F597,0)</f>
        <v>0</v>
      </c>
      <c r="K597" s="13" t="n">
        <f aca="false">_xlfn.IFS(G597="","",N597=G597,1,N597&lt;&gt;G597,0)</f>
        <v>0</v>
      </c>
      <c r="L597" s="3"/>
      <c r="M597" s="3" t="s">
        <v>105</v>
      </c>
      <c r="N597" s="3" t="s">
        <v>55</v>
      </c>
    </row>
    <row r="598" customFormat="false" ht="13.8" hidden="false" customHeight="false" outlineLevel="0" collapsed="false">
      <c r="A598" s="3" t="n">
        <v>599</v>
      </c>
      <c r="B598" s="3" t="s">
        <v>606</v>
      </c>
      <c r="C598" s="3" t="s">
        <v>105</v>
      </c>
      <c r="D598" s="3" t="s">
        <v>61</v>
      </c>
      <c r="E598" s="25" t="s">
        <v>896</v>
      </c>
      <c r="F598" s="3"/>
      <c r="G598" s="3"/>
      <c r="J598" s="13" t="str">
        <f aca="false">_xlfn.IFS(F598="","",M598=F598,1,M598&lt;&gt;F598,0)</f>
        <v/>
      </c>
      <c r="K598" s="13" t="str">
        <f aca="false">_xlfn.IFS(G598="","",N598=G598,1,N598&lt;&gt;G598,0)</f>
        <v/>
      </c>
      <c r="L598" s="3"/>
      <c r="M598" s="3" t="s">
        <v>105</v>
      </c>
      <c r="N598" s="3" t="s">
        <v>61</v>
      </c>
    </row>
    <row r="599" customFormat="false" ht="13.8" hidden="false" customHeight="false" outlineLevel="0" collapsed="false">
      <c r="A599" s="3" t="n">
        <v>600</v>
      </c>
      <c r="B599" s="3" t="s">
        <v>306</v>
      </c>
      <c r="C599" s="3" t="s">
        <v>143</v>
      </c>
      <c r="D599" s="3" t="s">
        <v>198</v>
      </c>
      <c r="E599" s="25" t="s">
        <v>482</v>
      </c>
      <c r="F599" s="3" t="s">
        <v>105</v>
      </c>
      <c r="G599" s="3" t="s">
        <v>894</v>
      </c>
      <c r="J599" s="13"/>
      <c r="K599" s="13"/>
      <c r="L599" s="3" t="s">
        <v>257</v>
      </c>
      <c r="M599" s="3" t="s">
        <v>143</v>
      </c>
      <c r="N599" s="3" t="s">
        <v>198</v>
      </c>
    </row>
    <row r="600" customFormat="false" ht="13.8" hidden="false" customHeight="false" outlineLevel="0" collapsed="false">
      <c r="A600" s="3" t="n">
        <v>601</v>
      </c>
      <c r="B600" s="3" t="s">
        <v>483</v>
      </c>
      <c r="C600" s="3" t="s">
        <v>105</v>
      </c>
      <c r="D600" s="3" t="s">
        <v>77</v>
      </c>
      <c r="E600" s="25" t="s">
        <v>896</v>
      </c>
      <c r="F600" s="3"/>
      <c r="G600" s="3"/>
      <c r="J600" s="13" t="str">
        <f aca="false">_xlfn.IFS(F600="","",M600=F600,1,M600&lt;&gt;F600,0)</f>
        <v/>
      </c>
      <c r="K600" s="13" t="str">
        <f aca="false">_xlfn.IFS(G600="","",N600=G600,1,N600&lt;&gt;G600,0)</f>
        <v/>
      </c>
      <c r="L600" s="3"/>
      <c r="M600" s="3" t="s">
        <v>105</v>
      </c>
      <c r="N600" s="3" t="s">
        <v>894</v>
      </c>
    </row>
    <row r="601" customFormat="false" ht="13.8" hidden="false" customHeight="false" outlineLevel="0" collapsed="false">
      <c r="A601" s="3" t="n">
        <v>602</v>
      </c>
      <c r="B601" s="3" t="s">
        <v>693</v>
      </c>
      <c r="C601" s="3" t="s">
        <v>143</v>
      </c>
      <c r="D601" s="3" t="s">
        <v>198</v>
      </c>
      <c r="E601" s="25" t="s">
        <v>891</v>
      </c>
      <c r="F601" s="3" t="s">
        <v>164</v>
      </c>
      <c r="G601" s="3" t="s">
        <v>893</v>
      </c>
      <c r="J601" s="13"/>
      <c r="K601" s="13"/>
      <c r="L601" s="3" t="s">
        <v>257</v>
      </c>
      <c r="M601" s="3" t="s">
        <v>143</v>
      </c>
      <c r="N601" s="3" t="s">
        <v>198</v>
      </c>
    </row>
    <row r="602" customFormat="false" ht="13.8" hidden="false" customHeight="false" outlineLevel="0" collapsed="false">
      <c r="A602" s="3" t="n">
        <v>603</v>
      </c>
      <c r="B602" s="3" t="s">
        <v>490</v>
      </c>
      <c r="C602" s="3" t="s">
        <v>105</v>
      </c>
      <c r="D602" s="3" t="s">
        <v>61</v>
      </c>
      <c r="E602" s="25" t="s">
        <v>896</v>
      </c>
      <c r="F602" s="3"/>
      <c r="G602" s="3"/>
      <c r="J602" s="13" t="str">
        <f aca="false">_xlfn.IFS(F602="","",M602=F602,1,M602&lt;&gt;F602,0)</f>
        <v/>
      </c>
      <c r="K602" s="13" t="str">
        <f aca="false">_xlfn.IFS(G602="","",N602=G602,1,N602&lt;&gt;G602,0)</f>
        <v/>
      </c>
      <c r="L602" s="3"/>
      <c r="M602" s="3" t="s">
        <v>105</v>
      </c>
      <c r="N602" s="3" t="s">
        <v>61</v>
      </c>
    </row>
    <row r="603" customFormat="false" ht="13.8" hidden="false" customHeight="false" outlineLevel="0" collapsed="false">
      <c r="A603" s="3" t="n">
        <v>604</v>
      </c>
      <c r="B603" s="3" t="s">
        <v>330</v>
      </c>
      <c r="C603" s="3" t="s">
        <v>105</v>
      </c>
      <c r="D603" s="3" t="s">
        <v>61</v>
      </c>
      <c r="E603" s="25" t="s">
        <v>891</v>
      </c>
      <c r="F603" s="3" t="s">
        <v>164</v>
      </c>
      <c r="G603" s="3" t="s">
        <v>63</v>
      </c>
      <c r="J603" s="13" t="n">
        <f aca="false">_xlfn.IFS(F603="","",M603=F603,1,M603&lt;&gt;F603,0)</f>
        <v>0</v>
      </c>
      <c r="K603" s="13" t="n">
        <f aca="false">_xlfn.IFS(G603="","",N603=G603,1,N603&lt;&gt;G603,0)</f>
        <v>0</v>
      </c>
      <c r="L603" s="3"/>
      <c r="M603" s="3" t="s">
        <v>105</v>
      </c>
      <c r="N603" s="3" t="s">
        <v>61</v>
      </c>
    </row>
    <row r="604" customFormat="false" ht="13.8" hidden="false" customHeight="false" outlineLevel="0" collapsed="false">
      <c r="A604" s="3" t="n">
        <v>605</v>
      </c>
      <c r="B604" s="3" t="s">
        <v>817</v>
      </c>
      <c r="C604" s="3" t="s">
        <v>105</v>
      </c>
      <c r="D604" s="3" t="s">
        <v>61</v>
      </c>
      <c r="E604" s="25" t="s">
        <v>891</v>
      </c>
      <c r="F604" s="3" t="s">
        <v>164</v>
      </c>
      <c r="G604" s="3" t="s">
        <v>884</v>
      </c>
      <c r="J604" s="13" t="n">
        <f aca="false">_xlfn.IFS(F604="","",M604=F604,1,M604&lt;&gt;F604,0)</f>
        <v>0</v>
      </c>
      <c r="K604" s="13" t="n">
        <f aca="false">_xlfn.IFS(G604="","",N604=G604,1,N604&lt;&gt;G604,0)</f>
        <v>0</v>
      </c>
      <c r="L604" s="3"/>
      <c r="M604" s="3" t="s">
        <v>105</v>
      </c>
      <c r="N604" s="3" t="s">
        <v>61</v>
      </c>
    </row>
    <row r="605" customFormat="false" ht="13.8" hidden="false" customHeight="false" outlineLevel="0" collapsed="false">
      <c r="A605" s="3" t="n">
        <v>606</v>
      </c>
      <c r="B605" s="3" t="s">
        <v>675</v>
      </c>
      <c r="C605" s="3" t="s">
        <v>105</v>
      </c>
      <c r="D605" s="3" t="s">
        <v>77</v>
      </c>
      <c r="E605" s="25" t="s">
        <v>891</v>
      </c>
      <c r="F605" s="3" t="s">
        <v>164</v>
      </c>
      <c r="G605" s="3" t="s">
        <v>899</v>
      </c>
      <c r="J605" s="13" t="n">
        <f aca="false">_xlfn.IFS(F605="","",M605=F605,1,M605&lt;&gt;F605,0)</f>
        <v>0</v>
      </c>
      <c r="K605" s="13" t="n">
        <f aca="false">_xlfn.IFS(G605="","",N605=G605,1,N605&lt;&gt;G605,0)</f>
        <v>0</v>
      </c>
      <c r="L605" s="3"/>
      <c r="M605" s="3" t="s">
        <v>105</v>
      </c>
      <c r="N605" s="3" t="s">
        <v>894</v>
      </c>
    </row>
    <row r="606" customFormat="false" ht="13.8" hidden="false" customHeight="false" outlineLevel="0" collapsed="false">
      <c r="A606" s="3" t="n">
        <v>607</v>
      </c>
      <c r="B606" s="3" t="s">
        <v>364</v>
      </c>
      <c r="C606" s="3" t="s">
        <v>105</v>
      </c>
      <c r="D606" s="3" t="s">
        <v>61</v>
      </c>
      <c r="E606" s="25" t="s">
        <v>482</v>
      </c>
      <c r="F606" s="3" t="s">
        <v>105</v>
      </c>
      <c r="G606" s="3" t="s">
        <v>894</v>
      </c>
      <c r="J606" s="13" t="n">
        <f aca="false">_xlfn.IFS(F606="","",M606=F606,1,M606&lt;&gt;F606,0)</f>
        <v>1</v>
      </c>
      <c r="K606" s="13" t="n">
        <f aca="false">_xlfn.IFS(G606="","",N606=G606,1,N606&lt;&gt;G606,0)</f>
        <v>0</v>
      </c>
      <c r="L606" s="3"/>
      <c r="M606" s="3" t="s">
        <v>105</v>
      </c>
      <c r="N606" s="3" t="s">
        <v>61</v>
      </c>
    </row>
    <row r="607" customFormat="false" ht="13.8" hidden="false" customHeight="false" outlineLevel="0" collapsed="false">
      <c r="A607" s="3" t="n">
        <v>608</v>
      </c>
      <c r="B607" s="3" t="s">
        <v>476</v>
      </c>
      <c r="C607" s="3" t="s">
        <v>105</v>
      </c>
      <c r="D607" s="3" t="s">
        <v>61</v>
      </c>
      <c r="E607" s="25" t="s">
        <v>891</v>
      </c>
      <c r="F607" s="3" t="s">
        <v>164</v>
      </c>
      <c r="G607" s="3" t="s">
        <v>154</v>
      </c>
      <c r="J607" s="13" t="n">
        <f aca="false">_xlfn.IFS(F607="","",M607=F607,1,M607&lt;&gt;F607,0)</f>
        <v>0</v>
      </c>
      <c r="K607" s="13" t="n">
        <f aca="false">_xlfn.IFS(G607="","",N607=G607,1,N607&lt;&gt;G607,0)</f>
        <v>0</v>
      </c>
      <c r="L607" s="3"/>
      <c r="M607" s="3" t="s">
        <v>105</v>
      </c>
      <c r="N607" s="3" t="s">
        <v>61</v>
      </c>
    </row>
    <row r="608" customFormat="false" ht="13.8" hidden="false" customHeight="false" outlineLevel="0" collapsed="false">
      <c r="A608" s="3" t="n">
        <v>609</v>
      </c>
      <c r="B608" s="3" t="s">
        <v>260</v>
      </c>
      <c r="C608" s="3" t="s">
        <v>105</v>
      </c>
      <c r="D608" s="3" t="s">
        <v>77</v>
      </c>
      <c r="E608" s="25" t="s">
        <v>482</v>
      </c>
      <c r="F608" s="3" t="s">
        <v>105</v>
      </c>
      <c r="G608" s="3" t="s">
        <v>894</v>
      </c>
      <c r="J608" s="13" t="n">
        <f aca="false">_xlfn.IFS(F608="","",M608=F608,1,M608&lt;&gt;F608,0)</f>
        <v>1</v>
      </c>
      <c r="K608" s="13" t="n">
        <f aca="false">_xlfn.IFS(G608="","",N608=G608,1,N608&lt;&gt;G608,0)</f>
        <v>1</v>
      </c>
      <c r="L608" s="3"/>
      <c r="M608" s="3" t="s">
        <v>105</v>
      </c>
      <c r="N608" s="3" t="s">
        <v>894</v>
      </c>
    </row>
    <row r="609" customFormat="false" ht="13.8" hidden="false" customHeight="false" outlineLevel="0" collapsed="false">
      <c r="A609" s="3" t="n">
        <v>610</v>
      </c>
      <c r="B609" s="3" t="s">
        <v>596</v>
      </c>
      <c r="C609" s="3" t="s">
        <v>105</v>
      </c>
      <c r="D609" s="3" t="s">
        <v>55</v>
      </c>
      <c r="E609" s="25" t="s">
        <v>896</v>
      </c>
      <c r="F609" s="3"/>
      <c r="G609" s="3"/>
      <c r="J609" s="13" t="str">
        <f aca="false">_xlfn.IFS(F609="","",M609=F609,1,M609&lt;&gt;F609,0)</f>
        <v/>
      </c>
      <c r="K609" s="13" t="str">
        <f aca="false">_xlfn.IFS(G609="","",N609=G609,1,N609&lt;&gt;G609,0)</f>
        <v/>
      </c>
      <c r="L609" s="3"/>
      <c r="M609" s="3" t="s">
        <v>105</v>
      </c>
      <c r="N609" s="3" t="s">
        <v>55</v>
      </c>
    </row>
    <row r="610" customFormat="false" ht="13.8" hidden="false" customHeight="false" outlineLevel="0" collapsed="false">
      <c r="A610" s="3" t="n">
        <v>611</v>
      </c>
      <c r="B610" s="3" t="s">
        <v>307</v>
      </c>
      <c r="C610" s="3" t="s">
        <v>150</v>
      </c>
      <c r="D610" s="3" t="s">
        <v>245</v>
      </c>
      <c r="E610" s="25" t="s">
        <v>482</v>
      </c>
      <c r="F610" s="3" t="s">
        <v>105</v>
      </c>
      <c r="G610" s="3" t="s">
        <v>894</v>
      </c>
      <c r="J610" s="13" t="n">
        <f aca="false">_xlfn.IFS(F610="","",M610=F610,1,M610&lt;&gt;F610,0)</f>
        <v>0</v>
      </c>
      <c r="K610" s="13" t="n">
        <f aca="false">_xlfn.IFS(G610="","",N610=G610,1,N610&lt;&gt;G610,0)</f>
        <v>0</v>
      </c>
      <c r="L610" s="3"/>
      <c r="M610" s="3" t="s">
        <v>164</v>
      </c>
      <c r="N610" s="3" t="s">
        <v>899</v>
      </c>
    </row>
    <row r="611" customFormat="false" ht="13.8" hidden="false" customHeight="false" outlineLevel="0" collapsed="false">
      <c r="A611" s="3" t="n">
        <v>612</v>
      </c>
      <c r="B611" s="3" t="s">
        <v>557</v>
      </c>
      <c r="C611" s="3" t="s">
        <v>105</v>
      </c>
      <c r="D611" s="3" t="s">
        <v>61</v>
      </c>
      <c r="E611" s="25" t="s">
        <v>482</v>
      </c>
      <c r="F611" s="3" t="s">
        <v>105</v>
      </c>
      <c r="G611" s="3" t="s">
        <v>61</v>
      </c>
      <c r="J611" s="13" t="n">
        <f aca="false">_xlfn.IFS(F611="","",M611=F611,1,M611&lt;&gt;F611,0)</f>
        <v>1</v>
      </c>
      <c r="K611" s="13" t="n">
        <f aca="false">_xlfn.IFS(G611="","",N611=G611,1,N611&lt;&gt;G611,0)</f>
        <v>1</v>
      </c>
      <c r="L611" s="3"/>
      <c r="M611" s="3" t="s">
        <v>105</v>
      </c>
      <c r="N611" s="3" t="s">
        <v>61</v>
      </c>
    </row>
    <row r="612" customFormat="false" ht="13.8" hidden="false" customHeight="false" outlineLevel="0" collapsed="false">
      <c r="A612" s="3" t="n">
        <v>613</v>
      </c>
      <c r="B612" s="3" t="s">
        <v>521</v>
      </c>
      <c r="C612" s="3" t="s">
        <v>143</v>
      </c>
      <c r="D612" s="3" t="s">
        <v>198</v>
      </c>
      <c r="E612" s="25" t="s">
        <v>482</v>
      </c>
      <c r="F612" s="3" t="s">
        <v>105</v>
      </c>
      <c r="G612" s="3" t="s">
        <v>61</v>
      </c>
      <c r="J612" s="13"/>
      <c r="K612" s="13"/>
      <c r="L612" s="3" t="s">
        <v>257</v>
      </c>
      <c r="M612" s="3" t="s">
        <v>143</v>
      </c>
      <c r="N612" s="3" t="s">
        <v>198</v>
      </c>
    </row>
    <row r="613" customFormat="false" ht="13.8" hidden="false" customHeight="false" outlineLevel="0" collapsed="false">
      <c r="A613" s="3" t="n">
        <v>614</v>
      </c>
      <c r="B613" s="3" t="s">
        <v>595</v>
      </c>
      <c r="C613" s="3" t="s">
        <v>143</v>
      </c>
      <c r="D613" s="3" t="s">
        <v>198</v>
      </c>
      <c r="E613" s="25" t="s">
        <v>482</v>
      </c>
      <c r="F613" s="3" t="s">
        <v>143</v>
      </c>
      <c r="G613" s="3" t="s">
        <v>160</v>
      </c>
      <c r="J613" s="13"/>
      <c r="K613" s="13"/>
      <c r="L613" s="3" t="s">
        <v>257</v>
      </c>
      <c r="M613" s="3" t="s">
        <v>143</v>
      </c>
      <c r="N613" s="3" t="s">
        <v>198</v>
      </c>
    </row>
    <row r="614" customFormat="false" ht="13.8" hidden="false" customHeight="false" outlineLevel="0" collapsed="false">
      <c r="A614" s="3" t="n">
        <v>615</v>
      </c>
      <c r="B614" s="3" t="s">
        <v>427</v>
      </c>
      <c r="C614" s="3" t="s">
        <v>150</v>
      </c>
      <c r="D614" s="3" t="s">
        <v>245</v>
      </c>
      <c r="E614" s="25" t="s">
        <v>482</v>
      </c>
      <c r="F614" s="3" t="s">
        <v>105</v>
      </c>
      <c r="G614" s="3" t="s">
        <v>61</v>
      </c>
      <c r="J614" s="13" t="n">
        <f aca="false">_xlfn.IFS(F614="","",M614=F614,1,M614&lt;&gt;F614,0)</f>
        <v>0</v>
      </c>
      <c r="K614" s="13" t="n">
        <f aca="false">_xlfn.IFS(G614="","",N614=G614,1,N614&lt;&gt;G614,0)</f>
        <v>0</v>
      </c>
      <c r="L614" s="3"/>
      <c r="M614" s="3" t="s">
        <v>164</v>
      </c>
      <c r="N614" s="3" t="s">
        <v>899</v>
      </c>
    </row>
    <row r="615" customFormat="false" ht="13.8" hidden="false" customHeight="false" outlineLevel="0" collapsed="false">
      <c r="A615" s="3" t="n">
        <v>616</v>
      </c>
      <c r="B615" s="3" t="s">
        <v>849</v>
      </c>
      <c r="C615" s="3" t="s">
        <v>105</v>
      </c>
      <c r="D615" s="3" t="s">
        <v>77</v>
      </c>
      <c r="E615" s="25" t="s">
        <v>891</v>
      </c>
      <c r="F615" s="3" t="s">
        <v>164</v>
      </c>
      <c r="G615" s="3" t="s">
        <v>899</v>
      </c>
      <c r="J615" s="13" t="n">
        <f aca="false">_xlfn.IFS(F615="","",M615=F615,1,M615&lt;&gt;F615,0)</f>
        <v>0</v>
      </c>
      <c r="K615" s="13" t="n">
        <f aca="false">_xlfn.IFS(G615="","",N615=G615,1,N615&lt;&gt;G615,0)</f>
        <v>0</v>
      </c>
      <c r="L615" s="3"/>
      <c r="M615" s="3" t="s">
        <v>105</v>
      </c>
      <c r="N615" s="3" t="s">
        <v>894</v>
      </c>
    </row>
    <row r="616" customFormat="false" ht="13.8" hidden="false" customHeight="false" outlineLevel="0" collapsed="false">
      <c r="A616" s="3" t="n">
        <v>617</v>
      </c>
      <c r="B616" s="3" t="s">
        <v>648</v>
      </c>
      <c r="C616" s="3" t="s">
        <v>150</v>
      </c>
      <c r="D616" s="3" t="s">
        <v>415</v>
      </c>
      <c r="E616" s="25" t="s">
        <v>891</v>
      </c>
      <c r="F616" s="3" t="s">
        <v>164</v>
      </c>
      <c r="G616" s="3" t="s">
        <v>899</v>
      </c>
      <c r="J616" s="13" t="n">
        <f aca="false">_xlfn.IFS(F616="","",M616=F616,1,M616&lt;&gt;F616,0)</f>
        <v>1</v>
      </c>
      <c r="K616" s="13" t="n">
        <f aca="false">_xlfn.IFS(G616="","",N616=G616,1,N616&lt;&gt;G616,0)</f>
        <v>1</v>
      </c>
      <c r="L616" s="3"/>
      <c r="M616" s="3" t="s">
        <v>164</v>
      </c>
      <c r="N616" s="3" t="s">
        <v>899</v>
      </c>
    </row>
    <row r="617" customFormat="false" ht="13.8" hidden="false" customHeight="false" outlineLevel="0" collapsed="false">
      <c r="A617" s="3" t="n">
        <v>618</v>
      </c>
      <c r="B617" s="3" t="s">
        <v>604</v>
      </c>
      <c r="C617" s="3" t="s">
        <v>105</v>
      </c>
      <c r="D617" s="3" t="s">
        <v>61</v>
      </c>
      <c r="E617" s="25" t="s">
        <v>891</v>
      </c>
      <c r="F617" s="3" t="s">
        <v>164</v>
      </c>
      <c r="G617" s="3" t="s">
        <v>63</v>
      </c>
      <c r="J617" s="13" t="n">
        <f aca="false">_xlfn.IFS(F617="","",M617=F617,1,M617&lt;&gt;F617,0)</f>
        <v>0</v>
      </c>
      <c r="K617" s="13" t="n">
        <f aca="false">_xlfn.IFS(G617="","",N617=G617,1,N617&lt;&gt;G617,0)</f>
        <v>0</v>
      </c>
      <c r="L617" s="3"/>
      <c r="M617" s="3" t="s">
        <v>105</v>
      </c>
      <c r="N617" s="3" t="s">
        <v>61</v>
      </c>
    </row>
    <row r="618" customFormat="false" ht="13.8" hidden="false" customHeight="false" outlineLevel="0" collapsed="false">
      <c r="A618" s="3" t="n">
        <v>619</v>
      </c>
      <c r="B618" s="3" t="s">
        <v>584</v>
      </c>
      <c r="C618" s="3" t="s">
        <v>105</v>
      </c>
      <c r="D618" s="3" t="s">
        <v>77</v>
      </c>
      <c r="E618" s="25" t="s">
        <v>482</v>
      </c>
      <c r="F618" s="3" t="s">
        <v>105</v>
      </c>
      <c r="G618" s="3" t="s">
        <v>61</v>
      </c>
      <c r="J618" s="13" t="n">
        <f aca="false">_xlfn.IFS(F618="","",M618=F618,1,M618&lt;&gt;F618,0)</f>
        <v>1</v>
      </c>
      <c r="K618" s="13" t="n">
        <f aca="false">_xlfn.IFS(G618="","",N618=G618,1,N618&lt;&gt;G618,0)</f>
        <v>0</v>
      </c>
      <c r="L618" s="3"/>
      <c r="M618" s="3" t="s">
        <v>105</v>
      </c>
      <c r="N618" s="3" t="s">
        <v>894</v>
      </c>
    </row>
    <row r="619" customFormat="false" ht="13.8" hidden="false" customHeight="false" outlineLevel="0" collapsed="false">
      <c r="A619" s="3" t="n">
        <v>620</v>
      </c>
      <c r="B619" s="3" t="s">
        <v>587</v>
      </c>
      <c r="C619" s="3" t="s">
        <v>105</v>
      </c>
      <c r="D619" s="3" t="s">
        <v>77</v>
      </c>
      <c r="E619" s="25" t="s">
        <v>482</v>
      </c>
      <c r="F619" s="3" t="s">
        <v>105</v>
      </c>
      <c r="G619" s="3" t="s">
        <v>61</v>
      </c>
      <c r="J619" s="13" t="n">
        <f aca="false">_xlfn.IFS(F619="","",M619=F619,1,M619&lt;&gt;F619,0)</f>
        <v>1</v>
      </c>
      <c r="K619" s="13" t="n">
        <f aca="false">_xlfn.IFS(G619="","",N619=G619,1,N619&lt;&gt;G619,0)</f>
        <v>0</v>
      </c>
      <c r="L619" s="3"/>
      <c r="M619" s="3" t="s">
        <v>105</v>
      </c>
      <c r="N619" s="3" t="s">
        <v>894</v>
      </c>
    </row>
    <row r="620" customFormat="false" ht="13.8" hidden="false" customHeight="false" outlineLevel="0" collapsed="false">
      <c r="A620" s="3" t="n">
        <v>621</v>
      </c>
      <c r="B620" s="3" t="s">
        <v>859</v>
      </c>
      <c r="C620" s="3" t="s">
        <v>150</v>
      </c>
      <c r="D620" s="3" t="s">
        <v>254</v>
      </c>
      <c r="E620" s="25" t="s">
        <v>891</v>
      </c>
      <c r="F620" s="3" t="s">
        <v>164</v>
      </c>
      <c r="G620" s="3" t="s">
        <v>899</v>
      </c>
      <c r="J620" s="13" t="n">
        <f aca="false">_xlfn.IFS(F620="","",M620=F620,1,M620&lt;&gt;F620,0)</f>
        <v>1</v>
      </c>
      <c r="K620" s="13" t="n">
        <f aca="false">_xlfn.IFS(G620="","",N620=G620,1,N620&lt;&gt;G620,0)</f>
        <v>0</v>
      </c>
      <c r="L620" s="3"/>
      <c r="M620" s="3" t="s">
        <v>164</v>
      </c>
      <c r="N620" s="3" t="s">
        <v>154</v>
      </c>
    </row>
    <row r="621" customFormat="false" ht="13.8" hidden="false" customHeight="false" outlineLevel="0" collapsed="false">
      <c r="A621" s="3" t="n">
        <v>622</v>
      </c>
      <c r="B621" s="3" t="s">
        <v>773</v>
      </c>
      <c r="C621" s="3" t="s">
        <v>150</v>
      </c>
      <c r="D621" s="3" t="s">
        <v>75</v>
      </c>
      <c r="E621" s="25" t="s">
        <v>891</v>
      </c>
      <c r="F621" s="3" t="s">
        <v>164</v>
      </c>
      <c r="G621" s="3" t="s">
        <v>154</v>
      </c>
      <c r="J621" s="13"/>
      <c r="K621" s="13"/>
      <c r="L621" s="3" t="s">
        <v>257</v>
      </c>
      <c r="M621" s="3" t="s">
        <v>164</v>
      </c>
      <c r="N621" s="3" t="s">
        <v>75</v>
      </c>
    </row>
    <row r="622" customFormat="false" ht="13.8" hidden="false" customHeight="false" outlineLevel="0" collapsed="false">
      <c r="A622" s="3" t="n">
        <v>623</v>
      </c>
      <c r="B622" s="3" t="s">
        <v>475</v>
      </c>
      <c r="C622" s="3" t="s">
        <v>105</v>
      </c>
      <c r="D622" s="3" t="s">
        <v>61</v>
      </c>
      <c r="E622" s="25" t="s">
        <v>891</v>
      </c>
      <c r="F622" s="3" t="s">
        <v>164</v>
      </c>
      <c r="G622" s="3" t="s">
        <v>154</v>
      </c>
      <c r="J622" s="13" t="n">
        <f aca="false">_xlfn.IFS(F622="","",M622=F622,1,M622&lt;&gt;F622,0)</f>
        <v>0</v>
      </c>
      <c r="K622" s="13" t="n">
        <f aca="false">_xlfn.IFS(G622="","",N622=G622,1,N622&lt;&gt;G622,0)</f>
        <v>0</v>
      </c>
      <c r="L622" s="3"/>
      <c r="M622" s="3" t="s">
        <v>105</v>
      </c>
      <c r="N622" s="3" t="s">
        <v>61</v>
      </c>
    </row>
    <row r="623" customFormat="false" ht="13.8" hidden="false" customHeight="false" outlineLevel="0" collapsed="false">
      <c r="A623" s="3" t="n">
        <v>624</v>
      </c>
      <c r="B623" s="3" t="s">
        <v>409</v>
      </c>
      <c r="C623" s="3" t="s">
        <v>143</v>
      </c>
      <c r="D623" s="3" t="s">
        <v>256</v>
      </c>
      <c r="E623" s="25" t="s">
        <v>891</v>
      </c>
      <c r="F623" s="3" t="s">
        <v>164</v>
      </c>
      <c r="G623" s="3" t="s">
        <v>154</v>
      </c>
      <c r="J623" s="13"/>
      <c r="K623" s="13"/>
      <c r="L623" s="3" t="s">
        <v>257</v>
      </c>
      <c r="M623" s="3" t="s">
        <v>143</v>
      </c>
      <c r="N623" s="3" t="s">
        <v>256</v>
      </c>
    </row>
    <row r="624" customFormat="false" ht="13.8" hidden="false" customHeight="false" outlineLevel="0" collapsed="false">
      <c r="A624" s="3" t="n">
        <v>625</v>
      </c>
      <c r="B624" s="3" t="s">
        <v>261</v>
      </c>
      <c r="C624" s="3" t="s">
        <v>150</v>
      </c>
      <c r="D624" s="3" t="s">
        <v>245</v>
      </c>
      <c r="E624" s="25" t="s">
        <v>891</v>
      </c>
      <c r="F624" s="3" t="s">
        <v>164</v>
      </c>
      <c r="G624" s="3" t="s">
        <v>63</v>
      </c>
      <c r="J624" s="13" t="n">
        <f aca="false">_xlfn.IFS(F624="","",M624=F624,1,M624&lt;&gt;F624,0)</f>
        <v>1</v>
      </c>
      <c r="K624" s="13" t="n">
        <f aca="false">_xlfn.IFS(G624="","",N624=G624,1,N624&lt;&gt;G624,0)</f>
        <v>0</v>
      </c>
      <c r="L624" s="3"/>
      <c r="M624" s="3" t="s">
        <v>164</v>
      </c>
      <c r="N624" s="3" t="s">
        <v>899</v>
      </c>
    </row>
    <row r="625" customFormat="false" ht="13.8" hidden="false" customHeight="false" outlineLevel="0" collapsed="false">
      <c r="A625" s="3" t="n">
        <v>626</v>
      </c>
      <c r="B625" s="3" t="s">
        <v>714</v>
      </c>
      <c r="C625" s="3" t="s">
        <v>105</v>
      </c>
      <c r="D625" s="3" t="s">
        <v>55</v>
      </c>
      <c r="E625" s="25" t="s">
        <v>482</v>
      </c>
      <c r="F625" s="3" t="s">
        <v>105</v>
      </c>
      <c r="G625" s="3" t="s">
        <v>61</v>
      </c>
      <c r="J625" s="13" t="n">
        <f aca="false">_xlfn.IFS(F625="","",M625=F625,1,M625&lt;&gt;F625,0)</f>
        <v>1</v>
      </c>
      <c r="K625" s="13" t="n">
        <f aca="false">_xlfn.IFS(G625="","",N625=G625,1,N625&lt;&gt;G625,0)</f>
        <v>0</v>
      </c>
      <c r="L625" s="3"/>
      <c r="M625" s="3" t="s">
        <v>105</v>
      </c>
      <c r="N625" s="3" t="s">
        <v>55</v>
      </c>
    </row>
    <row r="626" customFormat="false" ht="13.8" hidden="false" customHeight="false" outlineLevel="0" collapsed="false">
      <c r="A626" s="3" t="n">
        <v>627</v>
      </c>
      <c r="B626" s="3" t="s">
        <v>862</v>
      </c>
      <c r="C626" s="3" t="s">
        <v>105</v>
      </c>
      <c r="D626" s="3" t="s">
        <v>61</v>
      </c>
      <c r="E626" s="25" t="s">
        <v>891</v>
      </c>
      <c r="F626" s="3" t="s">
        <v>164</v>
      </c>
      <c r="G626" s="3" t="s">
        <v>63</v>
      </c>
      <c r="J626" s="13" t="n">
        <f aca="false">_xlfn.IFS(F626="","",M626=F626,1,M626&lt;&gt;F626,0)</f>
        <v>0</v>
      </c>
      <c r="K626" s="13" t="n">
        <f aca="false">_xlfn.IFS(G626="","",N626=G626,1,N626&lt;&gt;G626,0)</f>
        <v>0</v>
      </c>
      <c r="L626" s="3"/>
      <c r="M626" s="3" t="s">
        <v>105</v>
      </c>
      <c r="N626" s="3" t="s">
        <v>61</v>
      </c>
    </row>
    <row r="627" customFormat="false" ht="13.8" hidden="false" customHeight="false" outlineLevel="0" collapsed="false">
      <c r="A627" s="3" t="n">
        <v>628</v>
      </c>
      <c r="B627" s="3" t="s">
        <v>868</v>
      </c>
      <c r="C627" s="3" t="s">
        <v>105</v>
      </c>
      <c r="D627" s="3" t="s">
        <v>77</v>
      </c>
      <c r="E627" s="25" t="s">
        <v>891</v>
      </c>
      <c r="F627" s="3" t="s">
        <v>164</v>
      </c>
      <c r="G627" s="3" t="s">
        <v>154</v>
      </c>
      <c r="J627" s="13" t="n">
        <f aca="false">_xlfn.IFS(F627="","",M627=F627,1,M627&lt;&gt;F627,0)</f>
        <v>0</v>
      </c>
      <c r="K627" s="13" t="n">
        <f aca="false">_xlfn.IFS(G627="","",N627=G627,1,N627&lt;&gt;G627,0)</f>
        <v>0</v>
      </c>
      <c r="L627" s="3"/>
      <c r="M627" s="3" t="s">
        <v>105</v>
      </c>
      <c r="N627" s="3" t="s">
        <v>894</v>
      </c>
    </row>
    <row r="628" customFormat="false" ht="13.8" hidden="false" customHeight="false" outlineLevel="0" collapsed="false">
      <c r="A628" s="3" t="n">
        <v>629</v>
      </c>
      <c r="B628" s="3" t="s">
        <v>341</v>
      </c>
      <c r="C628" s="3" t="s">
        <v>105</v>
      </c>
      <c r="D628" s="3" t="s">
        <v>77</v>
      </c>
      <c r="E628" s="25" t="s">
        <v>482</v>
      </c>
      <c r="F628" s="3" t="s">
        <v>105</v>
      </c>
      <c r="G628" s="3" t="s">
        <v>894</v>
      </c>
      <c r="J628" s="13" t="n">
        <f aca="false">_xlfn.IFS(F628="","",M628=F628,1,M628&lt;&gt;F628,0)</f>
        <v>1</v>
      </c>
      <c r="K628" s="13" t="n">
        <f aca="false">_xlfn.IFS(G628="","",N628=G628,1,N628&lt;&gt;G628,0)</f>
        <v>1</v>
      </c>
      <c r="L628" s="3"/>
      <c r="M628" s="3" t="s">
        <v>105</v>
      </c>
      <c r="N628" s="3" t="s">
        <v>894</v>
      </c>
    </row>
    <row r="629" customFormat="false" ht="13.8" hidden="false" customHeight="false" outlineLevel="0" collapsed="false">
      <c r="A629" s="3" t="n">
        <v>630</v>
      </c>
      <c r="B629" s="3" t="s">
        <v>581</v>
      </c>
      <c r="C629" s="3" t="s">
        <v>105</v>
      </c>
      <c r="D629" s="3" t="s">
        <v>61</v>
      </c>
      <c r="E629" s="25" t="s">
        <v>891</v>
      </c>
      <c r="F629" s="3" t="s">
        <v>164</v>
      </c>
      <c r="G629" s="3" t="s">
        <v>63</v>
      </c>
      <c r="J629" s="13" t="n">
        <f aca="false">_xlfn.IFS(F629="","",M629=F629,1,M629&lt;&gt;F629,0)</f>
        <v>0</v>
      </c>
      <c r="K629" s="13" t="n">
        <f aca="false">_xlfn.IFS(G629="","",N629=G629,1,N629&lt;&gt;G629,0)</f>
        <v>0</v>
      </c>
      <c r="L629" s="3"/>
      <c r="M629" s="3" t="s">
        <v>105</v>
      </c>
      <c r="N629" s="3" t="s">
        <v>61</v>
      </c>
    </row>
    <row r="630" customFormat="false" ht="13.8" hidden="false" customHeight="false" outlineLevel="0" collapsed="false">
      <c r="A630" s="3" t="n">
        <v>631</v>
      </c>
      <c r="B630" s="3" t="s">
        <v>575</v>
      </c>
      <c r="C630" s="3" t="s">
        <v>105</v>
      </c>
      <c r="D630" s="3" t="s">
        <v>61</v>
      </c>
      <c r="E630" s="25" t="s">
        <v>482</v>
      </c>
      <c r="F630" s="3" t="s">
        <v>105</v>
      </c>
      <c r="G630" s="3" t="s">
        <v>894</v>
      </c>
      <c r="J630" s="13" t="n">
        <f aca="false">_xlfn.IFS(F630="","",M630=F630,1,M630&lt;&gt;F630,0)</f>
        <v>1</v>
      </c>
      <c r="K630" s="13" t="n">
        <f aca="false">_xlfn.IFS(G630="","",N630=G630,1,N630&lt;&gt;G630,0)</f>
        <v>0</v>
      </c>
      <c r="L630" s="3"/>
      <c r="M630" s="3" t="s">
        <v>105</v>
      </c>
      <c r="N630" s="3" t="s">
        <v>61</v>
      </c>
    </row>
    <row r="631" customFormat="false" ht="13.8" hidden="false" customHeight="false" outlineLevel="0" collapsed="false">
      <c r="A631" s="3" t="n">
        <v>632</v>
      </c>
      <c r="B631" s="3" t="s">
        <v>397</v>
      </c>
      <c r="C631" s="3" t="s">
        <v>143</v>
      </c>
      <c r="D631" s="3" t="s">
        <v>198</v>
      </c>
      <c r="E631" s="25" t="s">
        <v>482</v>
      </c>
      <c r="F631" s="3" t="s">
        <v>143</v>
      </c>
      <c r="G631" s="3" t="s">
        <v>160</v>
      </c>
      <c r="J631" s="13"/>
      <c r="K631" s="13"/>
      <c r="L631" s="3" t="s">
        <v>257</v>
      </c>
      <c r="M631" s="3" t="s">
        <v>143</v>
      </c>
      <c r="N631" s="3" t="s">
        <v>198</v>
      </c>
    </row>
    <row r="632" customFormat="false" ht="13.8" hidden="false" customHeight="false" outlineLevel="0" collapsed="false">
      <c r="A632" s="3" t="n">
        <v>633</v>
      </c>
      <c r="B632" s="3" t="s">
        <v>262</v>
      </c>
      <c r="C632" s="3" t="s">
        <v>150</v>
      </c>
      <c r="D632" s="3" t="s">
        <v>75</v>
      </c>
      <c r="E632" s="25" t="s">
        <v>891</v>
      </c>
      <c r="F632" s="3" t="s">
        <v>164</v>
      </c>
      <c r="G632" s="3" t="s">
        <v>63</v>
      </c>
      <c r="J632" s="13"/>
      <c r="K632" s="13"/>
      <c r="L632" s="3" t="s">
        <v>257</v>
      </c>
      <c r="M632" s="3" t="s">
        <v>164</v>
      </c>
      <c r="N632" s="3" t="s">
        <v>75</v>
      </c>
    </row>
    <row r="633" customFormat="false" ht="13.8" hidden="false" customHeight="false" outlineLevel="0" collapsed="false">
      <c r="A633" s="3" t="n">
        <v>634</v>
      </c>
      <c r="B633" s="3" t="s">
        <v>331</v>
      </c>
      <c r="C633" s="3" t="s">
        <v>150</v>
      </c>
      <c r="D633" s="3" t="s">
        <v>245</v>
      </c>
      <c r="E633" s="25" t="s">
        <v>891</v>
      </c>
      <c r="F633" s="3" t="s">
        <v>164</v>
      </c>
      <c r="G633" s="3" t="s">
        <v>154</v>
      </c>
      <c r="J633" s="13" t="n">
        <f aca="false">_xlfn.IFS(F633="","",M633=F633,1,M633&lt;&gt;F633,0)</f>
        <v>1</v>
      </c>
      <c r="K633" s="13" t="n">
        <f aca="false">_xlfn.IFS(G633="","",N633=G633,1,N633&lt;&gt;G633,0)</f>
        <v>0</v>
      </c>
      <c r="L633" s="3"/>
      <c r="M633" s="3" t="s">
        <v>164</v>
      </c>
      <c r="N633" s="3" t="s">
        <v>899</v>
      </c>
    </row>
    <row r="634" customFormat="false" ht="13.8" hidden="false" customHeight="false" outlineLevel="0" collapsed="false">
      <c r="A634" s="3" t="n">
        <v>635</v>
      </c>
      <c r="B634" s="3" t="s">
        <v>352</v>
      </c>
      <c r="C634" s="3" t="s">
        <v>105</v>
      </c>
      <c r="D634" s="3" t="s">
        <v>61</v>
      </c>
      <c r="E634" s="25" t="s">
        <v>482</v>
      </c>
      <c r="F634" s="3" t="s">
        <v>105</v>
      </c>
      <c r="G634" s="3" t="s">
        <v>894</v>
      </c>
      <c r="J634" s="13" t="n">
        <f aca="false">_xlfn.IFS(F634="","",M634=F634,1,M634&lt;&gt;F634,0)</f>
        <v>1</v>
      </c>
      <c r="K634" s="13" t="n">
        <f aca="false">_xlfn.IFS(G634="","",N634=G634,1,N634&lt;&gt;G634,0)</f>
        <v>0</v>
      </c>
      <c r="L634" s="3"/>
      <c r="M634" s="3" t="s">
        <v>105</v>
      </c>
      <c r="N634" s="3" t="s">
        <v>61</v>
      </c>
    </row>
    <row r="635" customFormat="false" ht="13.8" hidden="false" customHeight="false" outlineLevel="0" collapsed="false">
      <c r="A635" s="3" t="n">
        <v>636</v>
      </c>
      <c r="B635" s="3" t="s">
        <v>621</v>
      </c>
      <c r="C635" s="3" t="s">
        <v>143</v>
      </c>
      <c r="D635" s="3" t="s">
        <v>288</v>
      </c>
      <c r="E635" s="25" t="s">
        <v>482</v>
      </c>
      <c r="F635" s="3" t="s">
        <v>105</v>
      </c>
      <c r="G635" s="3" t="s">
        <v>61</v>
      </c>
      <c r="J635" s="13"/>
      <c r="K635" s="13"/>
      <c r="L635" s="3" t="s">
        <v>257</v>
      </c>
      <c r="M635" s="3" t="s">
        <v>143</v>
      </c>
      <c r="N635" s="3" t="s">
        <v>288</v>
      </c>
    </row>
    <row r="636" customFormat="false" ht="13.8" hidden="false" customHeight="false" outlineLevel="0" collapsed="false">
      <c r="A636" s="3" t="n">
        <v>637</v>
      </c>
      <c r="B636" s="3" t="s">
        <v>542</v>
      </c>
      <c r="C636" s="3" t="s">
        <v>105</v>
      </c>
      <c r="D636" s="3" t="s">
        <v>61</v>
      </c>
      <c r="E636" s="25" t="s">
        <v>482</v>
      </c>
      <c r="F636" s="3" t="s">
        <v>81</v>
      </c>
      <c r="G636" s="3"/>
      <c r="J636" s="13" t="n">
        <f aca="false">_xlfn.IFS(F636="","",M636=F636,1,M636&lt;&gt;F636,0)</f>
        <v>0</v>
      </c>
      <c r="K636" s="13" t="str">
        <f aca="false">_xlfn.IFS(G636="","",N636=G636,1,N636&lt;&gt;G636,0)</f>
        <v/>
      </c>
      <c r="L636" s="3"/>
      <c r="M636" s="3" t="s">
        <v>105</v>
      </c>
      <c r="N636" s="3" t="s">
        <v>61</v>
      </c>
    </row>
    <row r="637" customFormat="false" ht="13.8" hidden="false" customHeight="false" outlineLevel="0" collapsed="false">
      <c r="A637" s="3" t="n">
        <v>638</v>
      </c>
      <c r="B637" s="3" t="s">
        <v>613</v>
      </c>
      <c r="C637" s="3" t="s">
        <v>150</v>
      </c>
      <c r="D637" s="3" t="s">
        <v>254</v>
      </c>
      <c r="E637" s="25" t="s">
        <v>891</v>
      </c>
      <c r="F637" s="3" t="s">
        <v>164</v>
      </c>
      <c r="G637" s="3" t="s">
        <v>63</v>
      </c>
      <c r="J637" s="13" t="n">
        <f aca="false">_xlfn.IFS(F637="","",M637=F637,1,M637&lt;&gt;F637,0)</f>
        <v>1</v>
      </c>
      <c r="K637" s="13" t="n">
        <f aca="false">_xlfn.IFS(G637="","",N637=G637,1,N637&lt;&gt;G637,0)</f>
        <v>0</v>
      </c>
      <c r="L637" s="3"/>
      <c r="M637" s="3" t="s">
        <v>164</v>
      </c>
      <c r="N637" s="3" t="s">
        <v>154</v>
      </c>
    </row>
    <row r="638" customFormat="false" ht="13.8" hidden="false" customHeight="false" outlineLevel="0" collapsed="false">
      <c r="A638" s="3" t="n">
        <v>639</v>
      </c>
      <c r="B638" s="3" t="s">
        <v>492</v>
      </c>
      <c r="C638" s="3" t="s">
        <v>105</v>
      </c>
      <c r="D638" s="3" t="s">
        <v>55</v>
      </c>
      <c r="E638" s="25" t="s">
        <v>896</v>
      </c>
      <c r="F638" s="3"/>
      <c r="G638" s="3"/>
      <c r="J638" s="13" t="str">
        <f aca="false">_xlfn.IFS(F638="","",M638=F638,1,M638&lt;&gt;F638,0)</f>
        <v/>
      </c>
      <c r="K638" s="13" t="str">
        <f aca="false">_xlfn.IFS(G638="","",N638=G638,1,N638&lt;&gt;G638,0)</f>
        <v/>
      </c>
      <c r="L638" s="3"/>
      <c r="M638" s="3" t="s">
        <v>105</v>
      </c>
      <c r="N638" s="3" t="s">
        <v>55</v>
      </c>
    </row>
    <row r="639" customFormat="false" ht="13.8" hidden="false" customHeight="false" outlineLevel="0" collapsed="false">
      <c r="A639" s="3" t="n">
        <v>640</v>
      </c>
      <c r="B639" s="3" t="s">
        <v>562</v>
      </c>
      <c r="C639" s="3" t="s">
        <v>105</v>
      </c>
      <c r="D639" s="3" t="s">
        <v>61</v>
      </c>
      <c r="E639" s="25" t="s">
        <v>891</v>
      </c>
      <c r="F639" s="3" t="s">
        <v>164</v>
      </c>
      <c r="G639" s="3" t="s">
        <v>884</v>
      </c>
      <c r="J639" s="13" t="n">
        <f aca="false">_xlfn.IFS(F639="","",M639=F639,1,M639&lt;&gt;F639,0)</f>
        <v>0</v>
      </c>
      <c r="K639" s="13" t="n">
        <f aca="false">_xlfn.IFS(G639="","",N639=G639,1,N639&lt;&gt;G639,0)</f>
        <v>0</v>
      </c>
      <c r="L639" s="3"/>
      <c r="M639" s="3" t="s">
        <v>105</v>
      </c>
      <c r="N639" s="3" t="s">
        <v>61</v>
      </c>
    </row>
    <row r="640" customFormat="false" ht="13.8" hidden="false" customHeight="false" outlineLevel="0" collapsed="false">
      <c r="A640" s="3" t="n">
        <v>641</v>
      </c>
      <c r="B640" s="3" t="s">
        <v>627</v>
      </c>
      <c r="C640" s="3" t="s">
        <v>105</v>
      </c>
      <c r="D640" s="3" t="s">
        <v>61</v>
      </c>
      <c r="E640" s="25" t="s">
        <v>891</v>
      </c>
      <c r="F640" s="3" t="s">
        <v>164</v>
      </c>
      <c r="G640" s="3" t="s">
        <v>154</v>
      </c>
      <c r="J640" s="13" t="n">
        <f aca="false">_xlfn.IFS(F640="","",M640=F640,1,M640&lt;&gt;F640,0)</f>
        <v>0</v>
      </c>
      <c r="K640" s="13" t="n">
        <f aca="false">_xlfn.IFS(G640="","",N640=G640,1,N640&lt;&gt;G640,0)</f>
        <v>0</v>
      </c>
      <c r="L640" s="3"/>
      <c r="M640" s="3" t="s">
        <v>105</v>
      </c>
      <c r="N640" s="3" t="s">
        <v>61</v>
      </c>
    </row>
    <row r="641" customFormat="false" ht="13.8" hidden="false" customHeight="false" outlineLevel="0" collapsed="false">
      <c r="A641" s="3" t="n">
        <v>642</v>
      </c>
      <c r="B641" s="3" t="s">
        <v>308</v>
      </c>
      <c r="C641" s="3" t="s">
        <v>105</v>
      </c>
      <c r="D641" s="3" t="s">
        <v>61</v>
      </c>
      <c r="E641" s="25" t="s">
        <v>896</v>
      </c>
      <c r="F641" s="3"/>
      <c r="G641" s="3"/>
      <c r="J641" s="13" t="str">
        <f aca="false">_xlfn.IFS(F641="","",M641=F641,1,M641&lt;&gt;F641,0)</f>
        <v/>
      </c>
      <c r="K641" s="13" t="str">
        <f aca="false">_xlfn.IFS(G641="","",N641=G641,1,N641&lt;&gt;G641,0)</f>
        <v/>
      </c>
      <c r="L641" s="3"/>
      <c r="M641" s="3" t="s">
        <v>105</v>
      </c>
      <c r="N641" s="3" t="s">
        <v>61</v>
      </c>
    </row>
    <row r="642" customFormat="false" ht="13.8" hidden="false" customHeight="false" outlineLevel="0" collapsed="false">
      <c r="A642" s="3" t="n">
        <v>643</v>
      </c>
      <c r="B642" s="3" t="s">
        <v>438</v>
      </c>
      <c r="C642" s="3" t="s">
        <v>105</v>
      </c>
      <c r="D642" s="3" t="s">
        <v>61</v>
      </c>
      <c r="E642" s="25" t="s">
        <v>891</v>
      </c>
      <c r="F642" s="3" t="s">
        <v>164</v>
      </c>
      <c r="G642" s="3" t="s">
        <v>154</v>
      </c>
      <c r="J642" s="13" t="n">
        <f aca="false">_xlfn.IFS(F642="","",M642=F642,1,M642&lt;&gt;F642,0)</f>
        <v>0</v>
      </c>
      <c r="K642" s="13" t="n">
        <f aca="false">_xlfn.IFS(G642="","",N642=G642,1,N642&lt;&gt;G642,0)</f>
        <v>0</v>
      </c>
      <c r="L642" s="3"/>
      <c r="M642" s="3" t="s">
        <v>105</v>
      </c>
      <c r="N642" s="3" t="s">
        <v>61</v>
      </c>
    </row>
    <row r="643" customFormat="false" ht="13.8" hidden="false" customHeight="false" outlineLevel="0" collapsed="false">
      <c r="A643" s="3" t="n">
        <v>644</v>
      </c>
      <c r="B643" s="3" t="s">
        <v>468</v>
      </c>
      <c r="C643" s="3" t="s">
        <v>105</v>
      </c>
      <c r="D643" s="3" t="s">
        <v>61</v>
      </c>
      <c r="E643" s="25" t="s">
        <v>482</v>
      </c>
      <c r="F643" s="3" t="s">
        <v>105</v>
      </c>
      <c r="G643" s="3" t="s">
        <v>61</v>
      </c>
      <c r="J643" s="13" t="n">
        <f aca="false">_xlfn.IFS(F643="","",M643=F643,1,M643&lt;&gt;F643,0)</f>
        <v>1</v>
      </c>
      <c r="K643" s="13" t="n">
        <f aca="false">_xlfn.IFS(G643="","",N643=G643,1,N643&lt;&gt;G643,0)</f>
        <v>1</v>
      </c>
      <c r="L643" s="3"/>
      <c r="M643" s="3" t="s">
        <v>105</v>
      </c>
      <c r="N643" s="3" t="s">
        <v>61</v>
      </c>
    </row>
    <row r="644" customFormat="false" ht="13.8" hidden="false" customHeight="false" outlineLevel="0" collapsed="false">
      <c r="A644" s="3" t="n">
        <v>645</v>
      </c>
      <c r="B644" s="3" t="s">
        <v>263</v>
      </c>
      <c r="C644" s="3" t="s">
        <v>150</v>
      </c>
      <c r="D644" s="3" t="s">
        <v>254</v>
      </c>
      <c r="E644" s="25" t="s">
        <v>891</v>
      </c>
      <c r="F644" s="3" t="s">
        <v>164</v>
      </c>
      <c r="G644" s="3" t="s">
        <v>63</v>
      </c>
      <c r="J644" s="13" t="n">
        <f aca="false">_xlfn.IFS(F644="","",M644=F644,1,M644&lt;&gt;F644,0)</f>
        <v>1</v>
      </c>
      <c r="K644" s="13" t="n">
        <f aca="false">_xlfn.IFS(G644="","",N644=G644,1,N644&lt;&gt;G644,0)</f>
        <v>0</v>
      </c>
      <c r="L644" s="3"/>
      <c r="M644" s="3" t="s">
        <v>164</v>
      </c>
      <c r="N644" s="3" t="s">
        <v>154</v>
      </c>
    </row>
    <row r="645" customFormat="false" ht="13.8" hidden="false" customHeight="false" outlineLevel="0" collapsed="false">
      <c r="A645" s="3" t="n">
        <v>646</v>
      </c>
      <c r="B645" s="3" t="s">
        <v>737</v>
      </c>
      <c r="C645" s="3" t="s">
        <v>150</v>
      </c>
      <c r="D645" s="3" t="s">
        <v>254</v>
      </c>
      <c r="E645" s="25" t="s">
        <v>891</v>
      </c>
      <c r="F645" s="3" t="s">
        <v>164</v>
      </c>
      <c r="G645" s="3" t="s">
        <v>63</v>
      </c>
      <c r="J645" s="13" t="n">
        <f aca="false">_xlfn.IFS(F645="","",M645=F645,1,M645&lt;&gt;F645,0)</f>
        <v>1</v>
      </c>
      <c r="K645" s="13" t="n">
        <f aca="false">_xlfn.IFS(G645="","",N645=G645,1,N645&lt;&gt;G645,0)</f>
        <v>0</v>
      </c>
      <c r="L645" s="3"/>
      <c r="M645" s="3" t="s">
        <v>164</v>
      </c>
      <c r="N645" s="3" t="s">
        <v>154</v>
      </c>
    </row>
    <row r="646" customFormat="false" ht="13.8" hidden="false" customHeight="false" outlineLevel="0" collapsed="false">
      <c r="A646" s="3" t="n">
        <v>647</v>
      </c>
      <c r="B646" s="3" t="s">
        <v>365</v>
      </c>
      <c r="C646" s="3" t="s">
        <v>143</v>
      </c>
      <c r="D646" s="3" t="s">
        <v>198</v>
      </c>
      <c r="E646" s="25" t="s">
        <v>482</v>
      </c>
      <c r="F646" s="3" t="s">
        <v>143</v>
      </c>
      <c r="G646" s="3" t="s">
        <v>160</v>
      </c>
      <c r="J646" s="13"/>
      <c r="K646" s="13"/>
      <c r="L646" s="3" t="s">
        <v>257</v>
      </c>
      <c r="M646" s="3" t="s">
        <v>143</v>
      </c>
      <c r="N646" s="3" t="s">
        <v>198</v>
      </c>
    </row>
    <row r="647" customFormat="false" ht="13.8" hidden="false" customHeight="false" outlineLevel="0" collapsed="false">
      <c r="A647" s="3" t="n">
        <v>648</v>
      </c>
      <c r="B647" s="3" t="s">
        <v>493</v>
      </c>
      <c r="C647" s="3" t="s">
        <v>143</v>
      </c>
      <c r="D647" s="3" t="s">
        <v>198</v>
      </c>
      <c r="E647" s="25" t="s">
        <v>482</v>
      </c>
      <c r="F647" s="3" t="s">
        <v>143</v>
      </c>
      <c r="G647" s="3" t="s">
        <v>160</v>
      </c>
      <c r="J647" s="13"/>
      <c r="K647" s="13"/>
      <c r="L647" s="3" t="s">
        <v>257</v>
      </c>
      <c r="M647" s="3" t="s">
        <v>143</v>
      </c>
      <c r="N647" s="3" t="s">
        <v>198</v>
      </c>
    </row>
    <row r="648" customFormat="false" ht="13.8" hidden="false" customHeight="false" outlineLevel="0" collapsed="false">
      <c r="A648" s="3" t="n">
        <v>649</v>
      </c>
      <c r="B648" s="3" t="s">
        <v>526</v>
      </c>
      <c r="C648" s="3" t="s">
        <v>105</v>
      </c>
      <c r="D648" s="3" t="s">
        <v>61</v>
      </c>
      <c r="E648" s="25" t="s">
        <v>482</v>
      </c>
      <c r="F648" s="3" t="s">
        <v>105</v>
      </c>
      <c r="G648" s="3" t="s">
        <v>894</v>
      </c>
      <c r="J648" s="13" t="n">
        <f aca="false">_xlfn.IFS(F648="","",M648=F648,1,M648&lt;&gt;F648,0)</f>
        <v>1</v>
      </c>
      <c r="K648" s="13" t="n">
        <f aca="false">_xlfn.IFS(G648="","",N648=G648,1,N648&lt;&gt;G648,0)</f>
        <v>0</v>
      </c>
      <c r="L648" s="3"/>
      <c r="M648" s="3" t="s">
        <v>105</v>
      </c>
      <c r="N648" s="3" t="s">
        <v>61</v>
      </c>
    </row>
    <row r="649" customFormat="false" ht="13.8" hidden="false" customHeight="false" outlineLevel="0" collapsed="false">
      <c r="A649" s="3" t="n">
        <v>650</v>
      </c>
      <c r="B649" s="3" t="s">
        <v>512</v>
      </c>
      <c r="C649" s="3" t="s">
        <v>143</v>
      </c>
      <c r="D649" s="3" t="s">
        <v>198</v>
      </c>
      <c r="E649" s="25" t="s">
        <v>482</v>
      </c>
      <c r="F649" s="3" t="s">
        <v>143</v>
      </c>
      <c r="G649" s="3" t="s">
        <v>160</v>
      </c>
      <c r="J649" s="13"/>
      <c r="K649" s="13"/>
      <c r="L649" s="3" t="s">
        <v>257</v>
      </c>
      <c r="M649" s="3" t="s">
        <v>143</v>
      </c>
      <c r="N649" s="3" t="s">
        <v>198</v>
      </c>
    </row>
    <row r="650" customFormat="false" ht="13.8" hidden="false" customHeight="false" outlineLevel="0" collapsed="false">
      <c r="A650" s="3" t="n">
        <v>651</v>
      </c>
      <c r="B650" s="3" t="s">
        <v>264</v>
      </c>
      <c r="C650" s="3" t="s">
        <v>105</v>
      </c>
      <c r="D650" s="3" t="s">
        <v>61</v>
      </c>
      <c r="E650" s="25" t="s">
        <v>896</v>
      </c>
      <c r="F650" s="3"/>
      <c r="G650" s="3"/>
      <c r="J650" s="13" t="str">
        <f aca="false">_xlfn.IFS(F650="","",M650=F650,1,M650&lt;&gt;F650,0)</f>
        <v/>
      </c>
      <c r="K650" s="13" t="str">
        <f aca="false">_xlfn.IFS(G650="","",N650=G650,1,N650&lt;&gt;G650,0)</f>
        <v/>
      </c>
      <c r="L650" s="3"/>
      <c r="M650" s="3" t="s">
        <v>105</v>
      </c>
      <c r="N650" s="3" t="s">
        <v>61</v>
      </c>
    </row>
    <row r="651" customFormat="false" ht="13.8" hidden="false" customHeight="false" outlineLevel="0" collapsed="false">
      <c r="A651" s="3" t="n">
        <v>652</v>
      </c>
      <c r="B651" s="3" t="s">
        <v>462</v>
      </c>
      <c r="C651" s="3" t="s">
        <v>105</v>
      </c>
      <c r="D651" s="3" t="s">
        <v>61</v>
      </c>
      <c r="E651" s="25" t="s">
        <v>891</v>
      </c>
      <c r="F651" s="3" t="s">
        <v>164</v>
      </c>
      <c r="G651" s="3" t="s">
        <v>154</v>
      </c>
      <c r="J651" s="13" t="n">
        <f aca="false">_xlfn.IFS(F651="","",M651=F651,1,M651&lt;&gt;F651,0)</f>
        <v>0</v>
      </c>
      <c r="K651" s="13" t="n">
        <f aca="false">_xlfn.IFS(G651="","",N651=G651,1,N651&lt;&gt;G651,0)</f>
        <v>0</v>
      </c>
      <c r="L651" s="3"/>
      <c r="M651" s="3" t="s">
        <v>105</v>
      </c>
      <c r="N651" s="3" t="s">
        <v>61</v>
      </c>
    </row>
    <row r="652" customFormat="false" ht="13.8" hidden="false" customHeight="false" outlineLevel="0" collapsed="false">
      <c r="A652" s="3" t="n">
        <v>653</v>
      </c>
      <c r="B652" s="3" t="s">
        <v>428</v>
      </c>
      <c r="C652" s="3" t="s">
        <v>143</v>
      </c>
      <c r="D652" s="3" t="s">
        <v>198</v>
      </c>
      <c r="E652" s="25" t="s">
        <v>891</v>
      </c>
      <c r="F652" s="3" t="s">
        <v>164</v>
      </c>
      <c r="G652" s="3" t="s">
        <v>63</v>
      </c>
      <c r="J652" s="13"/>
      <c r="K652" s="13"/>
      <c r="L652" s="3" t="s">
        <v>257</v>
      </c>
      <c r="M652" s="3" t="s">
        <v>143</v>
      </c>
      <c r="N652" s="3" t="s">
        <v>198</v>
      </c>
    </row>
    <row r="653" customFormat="false" ht="13.8" hidden="false" customHeight="false" outlineLevel="0" collapsed="false">
      <c r="A653" s="3" t="n">
        <v>654</v>
      </c>
      <c r="B653" s="3" t="s">
        <v>431</v>
      </c>
      <c r="C653" s="3" t="s">
        <v>105</v>
      </c>
      <c r="D653" s="3" t="s">
        <v>61</v>
      </c>
      <c r="E653" s="25" t="s">
        <v>891</v>
      </c>
      <c r="F653" s="3" t="s">
        <v>164</v>
      </c>
      <c r="G653" s="3" t="s">
        <v>63</v>
      </c>
      <c r="J653" s="13" t="n">
        <f aca="false">_xlfn.IFS(F653="","",M653=F653,1,M653&lt;&gt;F653,0)</f>
        <v>0</v>
      </c>
      <c r="K653" s="13" t="n">
        <f aca="false">_xlfn.IFS(G653="","",N653=G653,1,N653&lt;&gt;G653,0)</f>
        <v>0</v>
      </c>
      <c r="L653" s="3"/>
      <c r="M653" s="3" t="s">
        <v>105</v>
      </c>
      <c r="N653" s="3" t="s">
        <v>61</v>
      </c>
    </row>
    <row r="654" customFormat="false" ht="13.8" hidden="false" customHeight="false" outlineLevel="0" collapsed="false">
      <c r="A654" s="3" t="n">
        <v>655</v>
      </c>
      <c r="B654" s="3" t="s">
        <v>342</v>
      </c>
      <c r="C654" s="3" t="s">
        <v>105</v>
      </c>
      <c r="D654" s="3" t="s">
        <v>61</v>
      </c>
      <c r="E654" s="25" t="s">
        <v>482</v>
      </c>
      <c r="F654" s="3" t="s">
        <v>105</v>
      </c>
      <c r="G654" s="3" t="s">
        <v>55</v>
      </c>
      <c r="J654" s="13" t="n">
        <f aca="false">_xlfn.IFS(F654="","",M654=F654,1,M654&lt;&gt;F654,0)</f>
        <v>1</v>
      </c>
      <c r="K654" s="13" t="n">
        <f aca="false">_xlfn.IFS(G654="","",N654=G654,1,N654&lt;&gt;G654,0)</f>
        <v>0</v>
      </c>
      <c r="L654" s="3"/>
      <c r="M654" s="3" t="s">
        <v>105</v>
      </c>
      <c r="N654" s="3" t="s">
        <v>61</v>
      </c>
    </row>
    <row r="655" customFormat="false" ht="13.8" hidden="false" customHeight="false" outlineLevel="0" collapsed="false">
      <c r="A655" s="3" t="n">
        <v>657</v>
      </c>
      <c r="B655" s="3" t="s">
        <v>366</v>
      </c>
      <c r="C655" s="3" t="s">
        <v>105</v>
      </c>
      <c r="D655" s="3" t="s">
        <v>61</v>
      </c>
      <c r="E655" s="25" t="s">
        <v>891</v>
      </c>
      <c r="F655" s="3" t="s">
        <v>164</v>
      </c>
      <c r="G655" s="3" t="s">
        <v>154</v>
      </c>
      <c r="J655" s="13" t="n">
        <f aca="false">_xlfn.IFS(F655="","",M655=F655,1,M655&lt;&gt;F655,0)</f>
        <v>0</v>
      </c>
      <c r="K655" s="13" t="n">
        <f aca="false">_xlfn.IFS(G655="","",N655=G655,1,N655&lt;&gt;G655,0)</f>
        <v>0</v>
      </c>
      <c r="L655" s="3"/>
      <c r="M655" s="3" t="s">
        <v>105</v>
      </c>
      <c r="N655" s="3" t="s">
        <v>61</v>
      </c>
    </row>
    <row r="656" customFormat="false" ht="13.8" hidden="false" customHeight="false" outlineLevel="0" collapsed="false">
      <c r="A656" s="3" t="n">
        <v>658</v>
      </c>
      <c r="B656" s="3" t="s">
        <v>454</v>
      </c>
      <c r="C656" s="3" t="s">
        <v>105</v>
      </c>
      <c r="D656" s="3" t="s">
        <v>61</v>
      </c>
      <c r="E656" s="25" t="s">
        <v>482</v>
      </c>
      <c r="F656" s="3" t="s">
        <v>105</v>
      </c>
      <c r="G656" s="3" t="s">
        <v>61</v>
      </c>
      <c r="J656" s="13" t="n">
        <f aca="false">_xlfn.IFS(F656="","",M656=F656,1,M656&lt;&gt;F656,0)</f>
        <v>1</v>
      </c>
      <c r="K656" s="13" t="n">
        <f aca="false">_xlfn.IFS(G656="","",N656=G656,1,N656&lt;&gt;G656,0)</f>
        <v>1</v>
      </c>
      <c r="L656" s="3"/>
      <c r="M656" s="3" t="s">
        <v>105</v>
      </c>
      <c r="N656" s="3" t="s">
        <v>61</v>
      </c>
    </row>
    <row r="657" customFormat="false" ht="13.8" hidden="false" customHeight="false" outlineLevel="0" collapsed="false">
      <c r="A657" s="3" t="n">
        <v>659</v>
      </c>
      <c r="B657" s="3" t="s">
        <v>630</v>
      </c>
      <c r="C657" s="3" t="s">
        <v>105</v>
      </c>
      <c r="D657" s="3" t="s">
        <v>77</v>
      </c>
      <c r="E657" s="25" t="s">
        <v>482</v>
      </c>
      <c r="F657" s="3" t="s">
        <v>143</v>
      </c>
      <c r="G657" s="3" t="s">
        <v>160</v>
      </c>
      <c r="J657" s="13" t="n">
        <f aca="false">_xlfn.IFS(F657="","",M657=F657,1,M657&lt;&gt;F657,0)</f>
        <v>0</v>
      </c>
      <c r="K657" s="13" t="n">
        <f aca="false">_xlfn.IFS(G657="","",N657=G657,1,N657&lt;&gt;G657,0)</f>
        <v>0</v>
      </c>
      <c r="L657" s="3"/>
      <c r="M657" s="3" t="s">
        <v>105</v>
      </c>
      <c r="N657" s="3" t="s">
        <v>894</v>
      </c>
    </row>
    <row r="658" customFormat="false" ht="13.8" hidden="false" customHeight="false" outlineLevel="0" collapsed="false">
      <c r="A658" s="3" t="n">
        <v>660</v>
      </c>
      <c r="B658" s="3" t="s">
        <v>679</v>
      </c>
      <c r="C658" s="3" t="s">
        <v>105</v>
      </c>
      <c r="D658" s="3" t="s">
        <v>61</v>
      </c>
      <c r="E658" s="25" t="s">
        <v>482</v>
      </c>
      <c r="F658" s="3" t="s">
        <v>105</v>
      </c>
      <c r="G658" s="3" t="s">
        <v>894</v>
      </c>
      <c r="J658" s="13" t="n">
        <f aca="false">_xlfn.IFS(F658="","",M658=F658,1,M658&lt;&gt;F658,0)</f>
        <v>1</v>
      </c>
      <c r="K658" s="13" t="n">
        <f aca="false">_xlfn.IFS(G658="","",N658=G658,1,N658&lt;&gt;G658,0)</f>
        <v>0</v>
      </c>
      <c r="L658" s="3"/>
      <c r="M658" s="3" t="s">
        <v>105</v>
      </c>
      <c r="N658" s="3" t="s">
        <v>61</v>
      </c>
    </row>
    <row r="659" customFormat="false" ht="13.8" hidden="false" customHeight="false" outlineLevel="0" collapsed="false">
      <c r="A659" s="3" t="n">
        <v>661</v>
      </c>
      <c r="B659" s="3" t="s">
        <v>265</v>
      </c>
      <c r="C659" s="3" t="s">
        <v>143</v>
      </c>
      <c r="D659" s="3" t="s">
        <v>198</v>
      </c>
      <c r="E659" s="25" t="s">
        <v>482</v>
      </c>
      <c r="F659" s="3" t="s">
        <v>81</v>
      </c>
      <c r="G659" s="3"/>
      <c r="J659" s="13"/>
      <c r="K659" s="13"/>
      <c r="L659" s="3" t="s">
        <v>257</v>
      </c>
      <c r="M659" s="3" t="s">
        <v>143</v>
      </c>
      <c r="N659" s="3" t="s">
        <v>198</v>
      </c>
    </row>
    <row r="660" customFormat="false" ht="13.8" hidden="false" customHeight="false" outlineLevel="0" collapsed="false">
      <c r="A660" s="3" t="n">
        <v>662</v>
      </c>
      <c r="B660" s="3" t="s">
        <v>266</v>
      </c>
      <c r="C660" s="3" t="s">
        <v>150</v>
      </c>
      <c r="D660" s="3" t="s">
        <v>75</v>
      </c>
      <c r="E660" s="25" t="s">
        <v>891</v>
      </c>
      <c r="F660" s="3" t="s">
        <v>164</v>
      </c>
      <c r="G660" s="3" t="s">
        <v>63</v>
      </c>
      <c r="J660" s="13"/>
      <c r="K660" s="13"/>
      <c r="L660" s="3" t="s">
        <v>257</v>
      </c>
      <c r="M660" s="3" t="s">
        <v>164</v>
      </c>
      <c r="N660" s="3" t="s">
        <v>75</v>
      </c>
    </row>
    <row r="661" customFormat="false" ht="13.8" hidden="false" customHeight="false" outlineLevel="0" collapsed="false">
      <c r="A661" s="3" t="n">
        <v>663</v>
      </c>
      <c r="B661" s="3" t="s">
        <v>309</v>
      </c>
      <c r="C661" s="3" t="s">
        <v>133</v>
      </c>
      <c r="D661" s="3" t="s">
        <v>65</v>
      </c>
      <c r="E661" s="25" t="s">
        <v>891</v>
      </c>
      <c r="F661" s="3" t="s">
        <v>164</v>
      </c>
      <c r="G661" s="3" t="s">
        <v>154</v>
      </c>
      <c r="J661" s="13"/>
      <c r="K661" s="13"/>
      <c r="L661" s="3" t="s">
        <v>257</v>
      </c>
      <c r="M661" s="3" t="s">
        <v>133</v>
      </c>
      <c r="N661" s="3" t="s">
        <v>65</v>
      </c>
    </row>
    <row r="662" customFormat="false" ht="13.8" hidden="false" customHeight="false" outlineLevel="0" collapsed="false">
      <c r="A662" s="3" t="n">
        <v>664</v>
      </c>
      <c r="B662" s="3" t="s">
        <v>511</v>
      </c>
      <c r="C662" s="3" t="s">
        <v>105</v>
      </c>
      <c r="D662" s="3" t="s">
        <v>61</v>
      </c>
      <c r="E662" s="25" t="s">
        <v>482</v>
      </c>
      <c r="F662" s="3" t="s">
        <v>105</v>
      </c>
      <c r="G662" s="3" t="s">
        <v>894</v>
      </c>
      <c r="J662" s="13" t="n">
        <f aca="false">_xlfn.IFS(F662="","",M662=F662,1,M662&lt;&gt;F662,0)</f>
        <v>1</v>
      </c>
      <c r="K662" s="13" t="n">
        <f aca="false">_xlfn.IFS(G662="","",N662=G662,1,N662&lt;&gt;G662,0)</f>
        <v>0</v>
      </c>
      <c r="L662" s="3"/>
      <c r="M662" s="3" t="s">
        <v>105</v>
      </c>
      <c r="N662" s="3" t="s">
        <v>61</v>
      </c>
    </row>
    <row r="663" customFormat="false" ht="15.75" hidden="false" customHeight="false" outlineLevel="0" collapsed="false">
      <c r="E663" s="26"/>
    </row>
    <row r="664" customFormat="false" ht="15.75" hidden="false" customHeight="false" outlineLevel="0" collapsed="false">
      <c r="E664" s="26"/>
    </row>
    <row r="665" customFormat="false" ht="15.75" hidden="false" customHeight="false" outlineLevel="0" collapsed="false">
      <c r="E665" s="26"/>
    </row>
    <row r="666" customFormat="false" ht="15.75" hidden="false" customHeight="false" outlineLevel="0" collapsed="false">
      <c r="E666" s="26"/>
    </row>
    <row r="667" customFormat="false" ht="15.75" hidden="false" customHeight="false" outlineLevel="0" collapsed="false">
      <c r="E667" s="26"/>
    </row>
    <row r="668" customFormat="false" ht="15.75" hidden="false" customHeight="false" outlineLevel="0" collapsed="false">
      <c r="E668" s="26"/>
    </row>
    <row r="669" customFormat="false" ht="15.75" hidden="false" customHeight="false" outlineLevel="0" collapsed="false">
      <c r="E669" s="26"/>
    </row>
    <row r="670" customFormat="false" ht="15.75" hidden="false" customHeight="false" outlineLevel="0" collapsed="false">
      <c r="E670" s="26"/>
    </row>
    <row r="671" customFormat="false" ht="15.75" hidden="false" customHeight="false" outlineLevel="0" collapsed="false">
      <c r="E671" s="26"/>
    </row>
    <row r="672" customFormat="false" ht="15.75" hidden="false" customHeight="false" outlineLevel="0" collapsed="false">
      <c r="E672" s="26"/>
    </row>
    <row r="673" customFormat="false" ht="15.75" hidden="false" customHeight="false" outlineLevel="0" collapsed="false">
      <c r="E673" s="26"/>
    </row>
    <row r="674" customFormat="false" ht="15.75" hidden="false" customHeight="false" outlineLevel="0" collapsed="false">
      <c r="E674" s="26"/>
    </row>
    <row r="675" customFormat="false" ht="15.75" hidden="false" customHeight="false" outlineLevel="0" collapsed="false">
      <c r="E675" s="26"/>
    </row>
    <row r="676" customFormat="false" ht="15.75" hidden="false" customHeight="false" outlineLevel="0" collapsed="false">
      <c r="E676" s="26"/>
    </row>
    <row r="677" customFormat="false" ht="15.75" hidden="false" customHeight="false" outlineLevel="0" collapsed="false">
      <c r="E677" s="26"/>
    </row>
    <row r="678" customFormat="false" ht="15.75" hidden="false" customHeight="false" outlineLevel="0" collapsed="false">
      <c r="E678" s="26"/>
    </row>
    <row r="679" customFormat="false" ht="15.75" hidden="false" customHeight="false" outlineLevel="0" collapsed="false">
      <c r="E679" s="26"/>
    </row>
    <row r="680" customFormat="false" ht="15.75" hidden="false" customHeight="false" outlineLevel="0" collapsed="false">
      <c r="E680" s="26"/>
    </row>
    <row r="681" customFormat="false" ht="15.75" hidden="false" customHeight="false" outlineLevel="0" collapsed="false">
      <c r="E681" s="26"/>
    </row>
    <row r="682" customFormat="false" ht="15.75" hidden="false" customHeight="false" outlineLevel="0" collapsed="false">
      <c r="E682" s="26"/>
    </row>
    <row r="683" customFormat="false" ht="15.75" hidden="false" customHeight="false" outlineLevel="0" collapsed="false">
      <c r="E683" s="26"/>
    </row>
    <row r="684" customFormat="false" ht="15.75" hidden="false" customHeight="false" outlineLevel="0" collapsed="false">
      <c r="E684" s="26"/>
    </row>
    <row r="685" customFormat="false" ht="15.75" hidden="false" customHeight="false" outlineLevel="0" collapsed="false">
      <c r="E685" s="26"/>
    </row>
    <row r="686" customFormat="false" ht="15.75" hidden="false" customHeight="false" outlineLevel="0" collapsed="false">
      <c r="E686" s="26"/>
    </row>
    <row r="687" customFormat="false" ht="15.75" hidden="false" customHeight="false" outlineLevel="0" collapsed="false">
      <c r="E687" s="26"/>
    </row>
    <row r="688" customFormat="false" ht="15.75" hidden="false" customHeight="false" outlineLevel="0" collapsed="false">
      <c r="E688" s="26"/>
    </row>
    <row r="689" customFormat="false" ht="15.75" hidden="false" customHeight="false" outlineLevel="0" collapsed="false">
      <c r="E689" s="26"/>
    </row>
    <row r="690" customFormat="false" ht="15.75" hidden="false" customHeight="false" outlineLevel="0" collapsed="false">
      <c r="E690" s="26"/>
    </row>
    <row r="691" customFormat="false" ht="15.75" hidden="false" customHeight="false" outlineLevel="0" collapsed="false">
      <c r="E691" s="26"/>
    </row>
    <row r="692" customFormat="false" ht="15.75" hidden="false" customHeight="false" outlineLevel="0" collapsed="false">
      <c r="E692" s="26"/>
    </row>
    <row r="693" customFormat="false" ht="15.75" hidden="false" customHeight="false" outlineLevel="0" collapsed="false">
      <c r="E693" s="26"/>
    </row>
    <row r="694" customFormat="false" ht="15.75" hidden="false" customHeight="false" outlineLevel="0" collapsed="false">
      <c r="E694" s="26"/>
    </row>
    <row r="695" customFormat="false" ht="15.75" hidden="false" customHeight="false" outlineLevel="0" collapsed="false">
      <c r="E695" s="26"/>
    </row>
    <row r="696" customFormat="false" ht="15.75" hidden="false" customHeight="false" outlineLevel="0" collapsed="false">
      <c r="E696" s="26"/>
    </row>
    <row r="697" customFormat="false" ht="15.75" hidden="false" customHeight="false" outlineLevel="0" collapsed="false">
      <c r="E697" s="26"/>
    </row>
    <row r="698" customFormat="false" ht="15.75" hidden="false" customHeight="false" outlineLevel="0" collapsed="false">
      <c r="E698" s="26"/>
    </row>
    <row r="699" customFormat="false" ht="15.75" hidden="false" customHeight="false" outlineLevel="0" collapsed="false">
      <c r="E699" s="26"/>
    </row>
    <row r="700" customFormat="false" ht="15.75" hidden="false" customHeight="false" outlineLevel="0" collapsed="false">
      <c r="E700" s="26"/>
    </row>
    <row r="701" customFormat="false" ht="15.75" hidden="false" customHeight="false" outlineLevel="0" collapsed="false">
      <c r="E701" s="26"/>
    </row>
    <row r="702" customFormat="false" ht="15.75" hidden="false" customHeight="false" outlineLevel="0" collapsed="false">
      <c r="E702" s="26"/>
    </row>
    <row r="703" customFormat="false" ht="15.75" hidden="false" customHeight="false" outlineLevel="0" collapsed="false">
      <c r="E703" s="26"/>
    </row>
    <row r="704" customFormat="false" ht="15.75" hidden="false" customHeight="false" outlineLevel="0" collapsed="false">
      <c r="E704" s="26"/>
    </row>
    <row r="705" customFormat="false" ht="15.75" hidden="false" customHeight="false" outlineLevel="0" collapsed="false">
      <c r="E705" s="26"/>
    </row>
    <row r="706" customFormat="false" ht="15.75" hidden="false" customHeight="false" outlineLevel="0" collapsed="false">
      <c r="E706" s="26"/>
    </row>
    <row r="707" customFormat="false" ht="15.75" hidden="false" customHeight="false" outlineLevel="0" collapsed="false">
      <c r="E707" s="26"/>
    </row>
    <row r="708" customFormat="false" ht="15.75" hidden="false" customHeight="false" outlineLevel="0" collapsed="false">
      <c r="E708" s="26"/>
    </row>
    <row r="709" customFormat="false" ht="15.75" hidden="false" customHeight="false" outlineLevel="0" collapsed="false">
      <c r="E709" s="26"/>
    </row>
    <row r="710" customFormat="false" ht="15.75" hidden="false" customHeight="false" outlineLevel="0" collapsed="false">
      <c r="E710" s="26"/>
    </row>
    <row r="711" customFormat="false" ht="15.75" hidden="false" customHeight="false" outlineLevel="0" collapsed="false">
      <c r="E711" s="26"/>
    </row>
    <row r="712" customFormat="false" ht="15.75" hidden="false" customHeight="false" outlineLevel="0" collapsed="false">
      <c r="E712" s="26"/>
    </row>
    <row r="713" customFormat="false" ht="15.75" hidden="false" customHeight="false" outlineLevel="0" collapsed="false">
      <c r="E713" s="26"/>
    </row>
    <row r="714" customFormat="false" ht="15.75" hidden="false" customHeight="false" outlineLevel="0" collapsed="false">
      <c r="E714" s="26"/>
    </row>
    <row r="715" customFormat="false" ht="15.75" hidden="false" customHeight="false" outlineLevel="0" collapsed="false">
      <c r="E715" s="26"/>
    </row>
    <row r="716" customFormat="false" ht="15.75" hidden="false" customHeight="false" outlineLevel="0" collapsed="false">
      <c r="E716" s="26"/>
    </row>
    <row r="717" customFormat="false" ht="15.75" hidden="false" customHeight="false" outlineLevel="0" collapsed="false">
      <c r="E717" s="26"/>
    </row>
    <row r="718" customFormat="false" ht="15.75" hidden="false" customHeight="false" outlineLevel="0" collapsed="false">
      <c r="E718" s="26"/>
    </row>
    <row r="719" customFormat="false" ht="15.75" hidden="false" customHeight="false" outlineLevel="0" collapsed="false">
      <c r="E719" s="26"/>
    </row>
    <row r="720" customFormat="false" ht="15.75" hidden="false" customHeight="false" outlineLevel="0" collapsed="false">
      <c r="E720" s="26"/>
    </row>
    <row r="721" customFormat="false" ht="15.75" hidden="false" customHeight="false" outlineLevel="0" collapsed="false">
      <c r="E721" s="26"/>
    </row>
    <row r="722" customFormat="false" ht="15.75" hidden="false" customHeight="false" outlineLevel="0" collapsed="false">
      <c r="E722" s="26"/>
    </row>
    <row r="723" customFormat="false" ht="15.75" hidden="false" customHeight="false" outlineLevel="0" collapsed="false">
      <c r="E723" s="26"/>
    </row>
    <row r="724" customFormat="false" ht="15.75" hidden="false" customHeight="false" outlineLevel="0" collapsed="false">
      <c r="E724" s="26"/>
    </row>
    <row r="725" customFormat="false" ht="15.75" hidden="false" customHeight="false" outlineLevel="0" collapsed="false">
      <c r="E725" s="26"/>
    </row>
    <row r="726" customFormat="false" ht="15.75" hidden="false" customHeight="false" outlineLevel="0" collapsed="false">
      <c r="E726" s="26"/>
    </row>
    <row r="727" customFormat="false" ht="15.75" hidden="false" customHeight="false" outlineLevel="0" collapsed="false">
      <c r="E727" s="26"/>
    </row>
    <row r="728" customFormat="false" ht="15.75" hidden="false" customHeight="false" outlineLevel="0" collapsed="false">
      <c r="E728" s="26"/>
    </row>
    <row r="729" customFormat="false" ht="15.75" hidden="false" customHeight="false" outlineLevel="0" collapsed="false">
      <c r="E729" s="26"/>
    </row>
    <row r="730" customFormat="false" ht="15.75" hidden="false" customHeight="false" outlineLevel="0" collapsed="false">
      <c r="E730" s="26"/>
    </row>
    <row r="731" customFormat="false" ht="15.75" hidden="false" customHeight="false" outlineLevel="0" collapsed="false">
      <c r="E731" s="26"/>
    </row>
    <row r="732" customFormat="false" ht="15.75" hidden="false" customHeight="false" outlineLevel="0" collapsed="false">
      <c r="E732" s="26"/>
    </row>
    <row r="733" customFormat="false" ht="15.75" hidden="false" customHeight="false" outlineLevel="0" collapsed="false">
      <c r="E733" s="26"/>
    </row>
    <row r="734" customFormat="false" ht="15.75" hidden="false" customHeight="false" outlineLevel="0" collapsed="false">
      <c r="E734" s="26"/>
    </row>
    <row r="735" customFormat="false" ht="15.75" hidden="false" customHeight="false" outlineLevel="0" collapsed="false">
      <c r="E735" s="26"/>
    </row>
    <row r="736" customFormat="false" ht="15.75" hidden="false" customHeight="false" outlineLevel="0" collapsed="false">
      <c r="E736" s="26"/>
    </row>
    <row r="737" customFormat="false" ht="15.75" hidden="false" customHeight="false" outlineLevel="0" collapsed="false">
      <c r="E737" s="26"/>
    </row>
    <row r="738" customFormat="false" ht="15.75" hidden="false" customHeight="false" outlineLevel="0" collapsed="false">
      <c r="E738" s="26"/>
    </row>
    <row r="739" customFormat="false" ht="15.75" hidden="false" customHeight="false" outlineLevel="0" collapsed="false">
      <c r="E739" s="26"/>
    </row>
    <row r="740" customFormat="false" ht="15.75" hidden="false" customHeight="false" outlineLevel="0" collapsed="false">
      <c r="E740" s="26"/>
    </row>
    <row r="741" customFormat="false" ht="15.75" hidden="false" customHeight="false" outlineLevel="0" collapsed="false">
      <c r="E741" s="26"/>
    </row>
    <row r="742" customFormat="false" ht="15.75" hidden="false" customHeight="false" outlineLevel="0" collapsed="false">
      <c r="E742" s="26"/>
    </row>
    <row r="743" customFormat="false" ht="15.75" hidden="false" customHeight="false" outlineLevel="0" collapsed="false">
      <c r="E743" s="26"/>
    </row>
    <row r="744" customFormat="false" ht="15.75" hidden="false" customHeight="false" outlineLevel="0" collapsed="false">
      <c r="E744" s="26"/>
    </row>
    <row r="745" customFormat="false" ht="15.75" hidden="false" customHeight="false" outlineLevel="0" collapsed="false">
      <c r="E745" s="26"/>
    </row>
    <row r="746" customFormat="false" ht="15.75" hidden="false" customHeight="false" outlineLevel="0" collapsed="false">
      <c r="E746" s="26"/>
    </row>
    <row r="747" customFormat="false" ht="15.75" hidden="false" customHeight="false" outlineLevel="0" collapsed="false">
      <c r="E747" s="26"/>
    </row>
    <row r="748" customFormat="false" ht="15.75" hidden="false" customHeight="false" outlineLevel="0" collapsed="false">
      <c r="E748" s="26"/>
    </row>
    <row r="749" customFormat="false" ht="15.75" hidden="false" customHeight="false" outlineLevel="0" collapsed="false">
      <c r="E749" s="26"/>
    </row>
    <row r="750" customFormat="false" ht="15.75" hidden="false" customHeight="false" outlineLevel="0" collapsed="false">
      <c r="E750" s="26"/>
    </row>
    <row r="751" customFormat="false" ht="15.75" hidden="false" customHeight="false" outlineLevel="0" collapsed="false">
      <c r="E751" s="26"/>
    </row>
    <row r="752" customFormat="false" ht="15.75" hidden="false" customHeight="false" outlineLevel="0" collapsed="false">
      <c r="E752" s="26"/>
    </row>
    <row r="753" customFormat="false" ht="15.75" hidden="false" customHeight="false" outlineLevel="0" collapsed="false">
      <c r="E753" s="26"/>
    </row>
    <row r="754" customFormat="false" ht="15.75" hidden="false" customHeight="false" outlineLevel="0" collapsed="false">
      <c r="E754" s="26"/>
    </row>
    <row r="755" customFormat="false" ht="15.75" hidden="false" customHeight="false" outlineLevel="0" collapsed="false">
      <c r="E755" s="26"/>
    </row>
    <row r="756" customFormat="false" ht="15.75" hidden="false" customHeight="false" outlineLevel="0" collapsed="false">
      <c r="E756" s="26"/>
    </row>
    <row r="757" customFormat="false" ht="15.75" hidden="false" customHeight="false" outlineLevel="0" collapsed="false">
      <c r="E757" s="26"/>
    </row>
    <row r="758" customFormat="false" ht="15.75" hidden="false" customHeight="false" outlineLevel="0" collapsed="false">
      <c r="E758" s="26"/>
    </row>
    <row r="759" customFormat="false" ht="15.75" hidden="false" customHeight="false" outlineLevel="0" collapsed="false">
      <c r="E759" s="26"/>
    </row>
    <row r="760" customFormat="false" ht="15.75" hidden="false" customHeight="false" outlineLevel="0" collapsed="false">
      <c r="E760" s="26"/>
    </row>
    <row r="761" customFormat="false" ht="15.75" hidden="false" customHeight="false" outlineLevel="0" collapsed="false">
      <c r="E761" s="26"/>
    </row>
    <row r="762" customFormat="false" ht="15.75" hidden="false" customHeight="false" outlineLevel="0" collapsed="false">
      <c r="E762" s="26"/>
    </row>
    <row r="763" customFormat="false" ht="15.75" hidden="false" customHeight="false" outlineLevel="0" collapsed="false">
      <c r="E763" s="26"/>
    </row>
    <row r="764" customFormat="false" ht="15.75" hidden="false" customHeight="false" outlineLevel="0" collapsed="false">
      <c r="E764" s="26"/>
    </row>
    <row r="765" customFormat="false" ht="15.75" hidden="false" customHeight="false" outlineLevel="0" collapsed="false">
      <c r="E765" s="26"/>
    </row>
    <row r="766" customFormat="false" ht="15.75" hidden="false" customHeight="false" outlineLevel="0" collapsed="false">
      <c r="E766" s="26"/>
    </row>
    <row r="767" customFormat="false" ht="15.75" hidden="false" customHeight="false" outlineLevel="0" collapsed="false">
      <c r="E767" s="26"/>
    </row>
    <row r="768" customFormat="false" ht="15.75" hidden="false" customHeight="false" outlineLevel="0" collapsed="false">
      <c r="E768" s="26"/>
    </row>
    <row r="769" customFormat="false" ht="15.75" hidden="false" customHeight="false" outlineLevel="0" collapsed="false">
      <c r="E769" s="26"/>
    </row>
    <row r="770" customFormat="false" ht="15.75" hidden="false" customHeight="false" outlineLevel="0" collapsed="false">
      <c r="E770" s="26"/>
    </row>
    <row r="771" customFormat="false" ht="15.75" hidden="false" customHeight="false" outlineLevel="0" collapsed="false">
      <c r="E771" s="26"/>
    </row>
    <row r="772" customFormat="false" ht="15.75" hidden="false" customHeight="false" outlineLevel="0" collapsed="false">
      <c r="E772" s="26"/>
    </row>
    <row r="773" customFormat="false" ht="15.75" hidden="false" customHeight="false" outlineLevel="0" collapsed="false">
      <c r="E773" s="26"/>
    </row>
    <row r="774" customFormat="false" ht="15.75" hidden="false" customHeight="false" outlineLevel="0" collapsed="false">
      <c r="E774" s="26"/>
    </row>
    <row r="775" customFormat="false" ht="15.75" hidden="false" customHeight="false" outlineLevel="0" collapsed="false">
      <c r="E775" s="26"/>
    </row>
    <row r="776" customFormat="false" ht="15.75" hidden="false" customHeight="false" outlineLevel="0" collapsed="false">
      <c r="E776" s="26"/>
    </row>
    <row r="777" customFormat="false" ht="15.75" hidden="false" customHeight="false" outlineLevel="0" collapsed="false">
      <c r="E777" s="26"/>
    </row>
    <row r="778" customFormat="false" ht="15.75" hidden="false" customHeight="false" outlineLevel="0" collapsed="false">
      <c r="E778" s="26"/>
    </row>
    <row r="779" customFormat="false" ht="15.75" hidden="false" customHeight="false" outlineLevel="0" collapsed="false">
      <c r="E779" s="26"/>
    </row>
    <row r="780" customFormat="false" ht="15.75" hidden="false" customHeight="false" outlineLevel="0" collapsed="false">
      <c r="E780" s="26"/>
    </row>
    <row r="781" customFormat="false" ht="15.75" hidden="false" customHeight="false" outlineLevel="0" collapsed="false">
      <c r="E781" s="26"/>
    </row>
    <row r="782" customFormat="false" ht="15.75" hidden="false" customHeight="false" outlineLevel="0" collapsed="false">
      <c r="E782" s="26"/>
    </row>
    <row r="783" customFormat="false" ht="15.75" hidden="false" customHeight="false" outlineLevel="0" collapsed="false">
      <c r="E783" s="26"/>
    </row>
    <row r="784" customFormat="false" ht="15.75" hidden="false" customHeight="false" outlineLevel="0" collapsed="false">
      <c r="E784" s="26"/>
    </row>
    <row r="785" customFormat="false" ht="15.75" hidden="false" customHeight="false" outlineLevel="0" collapsed="false">
      <c r="E785" s="26"/>
    </row>
    <row r="786" customFormat="false" ht="15.75" hidden="false" customHeight="false" outlineLevel="0" collapsed="false">
      <c r="E786" s="26"/>
    </row>
    <row r="787" customFormat="false" ht="15.75" hidden="false" customHeight="false" outlineLevel="0" collapsed="false">
      <c r="E787" s="26"/>
    </row>
    <row r="788" customFormat="false" ht="15.75" hidden="false" customHeight="false" outlineLevel="0" collapsed="false">
      <c r="E788" s="26"/>
    </row>
    <row r="789" customFormat="false" ht="15.75" hidden="false" customHeight="false" outlineLevel="0" collapsed="false">
      <c r="E789" s="26"/>
    </row>
    <row r="790" customFormat="false" ht="15.75" hidden="false" customHeight="false" outlineLevel="0" collapsed="false">
      <c r="E790" s="26"/>
    </row>
    <row r="791" customFormat="false" ht="15.75" hidden="false" customHeight="false" outlineLevel="0" collapsed="false">
      <c r="E791" s="26"/>
    </row>
    <row r="792" customFormat="false" ht="15.75" hidden="false" customHeight="false" outlineLevel="0" collapsed="false">
      <c r="E792" s="26"/>
    </row>
    <row r="793" customFormat="false" ht="15.75" hidden="false" customHeight="false" outlineLevel="0" collapsed="false">
      <c r="E793" s="26"/>
    </row>
    <row r="794" customFormat="false" ht="15.75" hidden="false" customHeight="false" outlineLevel="0" collapsed="false">
      <c r="E794" s="26"/>
    </row>
    <row r="795" customFormat="false" ht="15.75" hidden="false" customHeight="false" outlineLevel="0" collapsed="false">
      <c r="E795" s="26"/>
    </row>
    <row r="796" customFormat="false" ht="15.75" hidden="false" customHeight="false" outlineLevel="0" collapsed="false">
      <c r="E796" s="26"/>
    </row>
    <row r="797" customFormat="false" ht="15.75" hidden="false" customHeight="false" outlineLevel="0" collapsed="false">
      <c r="E797" s="26"/>
    </row>
    <row r="798" customFormat="false" ht="15.75" hidden="false" customHeight="false" outlineLevel="0" collapsed="false">
      <c r="E798" s="26"/>
    </row>
    <row r="799" customFormat="false" ht="15.75" hidden="false" customHeight="false" outlineLevel="0" collapsed="false">
      <c r="E799" s="26"/>
    </row>
    <row r="800" customFormat="false" ht="15.75" hidden="false" customHeight="false" outlineLevel="0" collapsed="false">
      <c r="E800" s="26"/>
    </row>
    <row r="801" customFormat="false" ht="15.75" hidden="false" customHeight="false" outlineLevel="0" collapsed="false">
      <c r="E801" s="26"/>
    </row>
    <row r="802" customFormat="false" ht="15.75" hidden="false" customHeight="false" outlineLevel="0" collapsed="false">
      <c r="E802" s="26"/>
    </row>
    <row r="803" customFormat="false" ht="15.75" hidden="false" customHeight="false" outlineLevel="0" collapsed="false">
      <c r="E803" s="26"/>
    </row>
    <row r="804" customFormat="false" ht="15.75" hidden="false" customHeight="false" outlineLevel="0" collapsed="false">
      <c r="E804" s="26"/>
    </row>
    <row r="805" customFormat="false" ht="15.75" hidden="false" customHeight="false" outlineLevel="0" collapsed="false">
      <c r="E805" s="26"/>
    </row>
    <row r="806" customFormat="false" ht="15.75" hidden="false" customHeight="false" outlineLevel="0" collapsed="false">
      <c r="E806" s="26"/>
    </row>
    <row r="807" customFormat="false" ht="15.75" hidden="false" customHeight="false" outlineLevel="0" collapsed="false">
      <c r="E807" s="26"/>
    </row>
    <row r="808" customFormat="false" ht="15.75" hidden="false" customHeight="false" outlineLevel="0" collapsed="false">
      <c r="E808" s="26"/>
    </row>
    <row r="809" customFormat="false" ht="15.75" hidden="false" customHeight="false" outlineLevel="0" collapsed="false">
      <c r="E809" s="26"/>
    </row>
    <row r="810" customFormat="false" ht="15.75" hidden="false" customHeight="false" outlineLevel="0" collapsed="false">
      <c r="E810" s="26"/>
    </row>
    <row r="811" customFormat="false" ht="15.75" hidden="false" customHeight="false" outlineLevel="0" collapsed="false">
      <c r="E811" s="26"/>
    </row>
    <row r="812" customFormat="false" ht="15.75" hidden="false" customHeight="false" outlineLevel="0" collapsed="false">
      <c r="E812" s="26"/>
    </row>
    <row r="813" customFormat="false" ht="15.75" hidden="false" customHeight="false" outlineLevel="0" collapsed="false">
      <c r="E813" s="26"/>
    </row>
    <row r="814" customFormat="false" ht="15.75" hidden="false" customHeight="false" outlineLevel="0" collapsed="false">
      <c r="E814" s="26"/>
    </row>
    <row r="815" customFormat="false" ht="15.75" hidden="false" customHeight="false" outlineLevel="0" collapsed="false">
      <c r="E815" s="26"/>
    </row>
    <row r="816" customFormat="false" ht="15.75" hidden="false" customHeight="false" outlineLevel="0" collapsed="false">
      <c r="E816" s="26"/>
    </row>
    <row r="817" customFormat="false" ht="15.75" hidden="false" customHeight="false" outlineLevel="0" collapsed="false">
      <c r="E817" s="26"/>
    </row>
    <row r="818" customFormat="false" ht="15.75" hidden="false" customHeight="false" outlineLevel="0" collapsed="false">
      <c r="E818" s="26"/>
    </row>
    <row r="819" customFormat="false" ht="15.75" hidden="false" customHeight="false" outlineLevel="0" collapsed="false">
      <c r="E819" s="26"/>
    </row>
    <row r="820" customFormat="false" ht="15.75" hidden="false" customHeight="false" outlineLevel="0" collapsed="false">
      <c r="E820" s="26"/>
    </row>
    <row r="821" customFormat="false" ht="15.75" hidden="false" customHeight="false" outlineLevel="0" collapsed="false">
      <c r="E821" s="26"/>
    </row>
    <row r="822" customFormat="false" ht="15.75" hidden="false" customHeight="false" outlineLevel="0" collapsed="false">
      <c r="E822" s="26"/>
    </row>
    <row r="823" customFormat="false" ht="15.75" hidden="false" customHeight="false" outlineLevel="0" collapsed="false">
      <c r="E823" s="26"/>
    </row>
    <row r="824" customFormat="false" ht="15.75" hidden="false" customHeight="false" outlineLevel="0" collapsed="false">
      <c r="E824" s="26"/>
    </row>
    <row r="825" customFormat="false" ht="15.75" hidden="false" customHeight="false" outlineLevel="0" collapsed="false">
      <c r="E825" s="26"/>
    </row>
    <row r="826" customFormat="false" ht="15.75" hidden="false" customHeight="false" outlineLevel="0" collapsed="false">
      <c r="E826" s="26"/>
    </row>
    <row r="827" customFormat="false" ht="15.75" hidden="false" customHeight="false" outlineLevel="0" collapsed="false">
      <c r="E827" s="26"/>
    </row>
    <row r="828" customFormat="false" ht="15.75" hidden="false" customHeight="false" outlineLevel="0" collapsed="false">
      <c r="E828" s="26"/>
    </row>
    <row r="829" customFormat="false" ht="15.75" hidden="false" customHeight="false" outlineLevel="0" collapsed="false">
      <c r="E829" s="26"/>
    </row>
    <row r="830" customFormat="false" ht="15.75" hidden="false" customHeight="false" outlineLevel="0" collapsed="false">
      <c r="E830" s="26"/>
    </row>
    <row r="831" customFormat="false" ht="15.75" hidden="false" customHeight="false" outlineLevel="0" collapsed="false">
      <c r="E831" s="26"/>
    </row>
    <row r="832" customFormat="false" ht="15.75" hidden="false" customHeight="false" outlineLevel="0" collapsed="false">
      <c r="E832" s="26"/>
    </row>
    <row r="833" customFormat="false" ht="15.75" hidden="false" customHeight="false" outlineLevel="0" collapsed="false">
      <c r="E833" s="26"/>
    </row>
    <row r="834" customFormat="false" ht="15.75" hidden="false" customHeight="false" outlineLevel="0" collapsed="false">
      <c r="E834" s="26"/>
    </row>
    <row r="835" customFormat="false" ht="15.75" hidden="false" customHeight="false" outlineLevel="0" collapsed="false">
      <c r="E835" s="26"/>
    </row>
    <row r="836" customFormat="false" ht="15.75" hidden="false" customHeight="false" outlineLevel="0" collapsed="false">
      <c r="E836" s="26"/>
    </row>
    <row r="837" customFormat="false" ht="15.75" hidden="false" customHeight="false" outlineLevel="0" collapsed="false">
      <c r="E837" s="26"/>
    </row>
    <row r="838" customFormat="false" ht="15.75" hidden="false" customHeight="false" outlineLevel="0" collapsed="false">
      <c r="E838" s="26"/>
    </row>
    <row r="839" customFormat="false" ht="15.75" hidden="false" customHeight="false" outlineLevel="0" collapsed="false">
      <c r="E839" s="26"/>
    </row>
    <row r="840" customFormat="false" ht="15.75" hidden="false" customHeight="false" outlineLevel="0" collapsed="false">
      <c r="E840" s="26"/>
    </row>
    <row r="841" customFormat="false" ht="15.75" hidden="false" customHeight="false" outlineLevel="0" collapsed="false">
      <c r="E841" s="26"/>
    </row>
    <row r="842" customFormat="false" ht="15.75" hidden="false" customHeight="false" outlineLevel="0" collapsed="false">
      <c r="E842" s="26"/>
    </row>
    <row r="843" customFormat="false" ht="15.75" hidden="false" customHeight="false" outlineLevel="0" collapsed="false">
      <c r="E843" s="26"/>
    </row>
    <row r="844" customFormat="false" ht="15.75" hidden="false" customHeight="false" outlineLevel="0" collapsed="false">
      <c r="E844" s="26"/>
    </row>
    <row r="845" customFormat="false" ht="15.75" hidden="false" customHeight="false" outlineLevel="0" collapsed="false">
      <c r="E845" s="26"/>
    </row>
    <row r="846" customFormat="false" ht="15.75" hidden="false" customHeight="false" outlineLevel="0" collapsed="false">
      <c r="E846" s="26"/>
    </row>
    <row r="847" customFormat="false" ht="15.75" hidden="false" customHeight="false" outlineLevel="0" collapsed="false">
      <c r="E847" s="26"/>
    </row>
    <row r="848" customFormat="false" ht="15.75" hidden="false" customHeight="false" outlineLevel="0" collapsed="false">
      <c r="E848" s="26"/>
    </row>
    <row r="849" customFormat="false" ht="15.75" hidden="false" customHeight="false" outlineLevel="0" collapsed="false">
      <c r="E849" s="26"/>
    </row>
    <row r="850" customFormat="false" ht="15.75" hidden="false" customHeight="false" outlineLevel="0" collapsed="false">
      <c r="E850" s="26"/>
    </row>
    <row r="851" customFormat="false" ht="15.75" hidden="false" customHeight="false" outlineLevel="0" collapsed="false">
      <c r="E851" s="26"/>
    </row>
    <row r="852" customFormat="false" ht="15.75" hidden="false" customHeight="false" outlineLevel="0" collapsed="false">
      <c r="E852" s="26"/>
    </row>
    <row r="853" customFormat="false" ht="15.75" hidden="false" customHeight="false" outlineLevel="0" collapsed="false">
      <c r="E853" s="26"/>
    </row>
    <row r="854" customFormat="false" ht="15.75" hidden="false" customHeight="false" outlineLevel="0" collapsed="false">
      <c r="E854" s="26"/>
    </row>
    <row r="855" customFormat="false" ht="15.75" hidden="false" customHeight="false" outlineLevel="0" collapsed="false">
      <c r="E855" s="26"/>
    </row>
    <row r="856" customFormat="false" ht="15.75" hidden="false" customHeight="false" outlineLevel="0" collapsed="false">
      <c r="E856" s="26"/>
    </row>
    <row r="857" customFormat="false" ht="15.75" hidden="false" customHeight="false" outlineLevel="0" collapsed="false">
      <c r="E857" s="26"/>
    </row>
    <row r="858" customFormat="false" ht="15.75" hidden="false" customHeight="false" outlineLevel="0" collapsed="false">
      <c r="E858" s="26"/>
    </row>
    <row r="859" customFormat="false" ht="15.75" hidden="false" customHeight="false" outlineLevel="0" collapsed="false">
      <c r="E859" s="26"/>
    </row>
    <row r="860" customFormat="false" ht="15.75" hidden="false" customHeight="false" outlineLevel="0" collapsed="false">
      <c r="E860" s="26"/>
    </row>
    <row r="861" customFormat="false" ht="15.75" hidden="false" customHeight="false" outlineLevel="0" collapsed="false">
      <c r="E861" s="26"/>
    </row>
    <row r="862" customFormat="false" ht="15.75" hidden="false" customHeight="false" outlineLevel="0" collapsed="false">
      <c r="E862" s="26"/>
    </row>
    <row r="863" customFormat="false" ht="15.75" hidden="false" customHeight="false" outlineLevel="0" collapsed="false">
      <c r="E863" s="26"/>
    </row>
    <row r="864" customFormat="false" ht="15.75" hidden="false" customHeight="false" outlineLevel="0" collapsed="false">
      <c r="E864" s="26"/>
    </row>
    <row r="865" customFormat="false" ht="15.75" hidden="false" customHeight="false" outlineLevel="0" collapsed="false">
      <c r="E865" s="26"/>
    </row>
    <row r="866" customFormat="false" ht="15.75" hidden="false" customHeight="false" outlineLevel="0" collapsed="false">
      <c r="E866" s="26"/>
    </row>
    <row r="867" customFormat="false" ht="15.75" hidden="false" customHeight="false" outlineLevel="0" collapsed="false">
      <c r="E867" s="26"/>
    </row>
    <row r="868" customFormat="false" ht="15.75" hidden="false" customHeight="false" outlineLevel="0" collapsed="false">
      <c r="E868" s="26"/>
    </row>
    <row r="869" customFormat="false" ht="15.75" hidden="false" customHeight="false" outlineLevel="0" collapsed="false">
      <c r="E869" s="26"/>
    </row>
    <row r="870" customFormat="false" ht="15.75" hidden="false" customHeight="false" outlineLevel="0" collapsed="false">
      <c r="E870" s="26"/>
    </row>
    <row r="871" customFormat="false" ht="15.75" hidden="false" customHeight="false" outlineLevel="0" collapsed="false">
      <c r="E871" s="26"/>
    </row>
    <row r="872" customFormat="false" ht="15.75" hidden="false" customHeight="false" outlineLevel="0" collapsed="false">
      <c r="E872" s="26"/>
    </row>
    <row r="873" customFormat="false" ht="15.75" hidden="false" customHeight="false" outlineLevel="0" collapsed="false">
      <c r="E873" s="26"/>
    </row>
    <row r="874" customFormat="false" ht="15.75" hidden="false" customHeight="false" outlineLevel="0" collapsed="false">
      <c r="E874" s="26"/>
    </row>
    <row r="875" customFormat="false" ht="15.75" hidden="false" customHeight="false" outlineLevel="0" collapsed="false">
      <c r="E875" s="26"/>
    </row>
    <row r="876" customFormat="false" ht="15.75" hidden="false" customHeight="false" outlineLevel="0" collapsed="false">
      <c r="E876" s="26"/>
    </row>
    <row r="877" customFormat="false" ht="15.75" hidden="false" customHeight="false" outlineLevel="0" collapsed="false">
      <c r="E877" s="26"/>
    </row>
    <row r="878" customFormat="false" ht="15.75" hidden="false" customHeight="false" outlineLevel="0" collapsed="false">
      <c r="E878" s="26"/>
    </row>
    <row r="879" customFormat="false" ht="15.75" hidden="false" customHeight="false" outlineLevel="0" collapsed="false">
      <c r="E879" s="26"/>
    </row>
    <row r="880" customFormat="false" ht="15.75" hidden="false" customHeight="false" outlineLevel="0" collapsed="false">
      <c r="E880" s="26"/>
    </row>
    <row r="881" customFormat="false" ht="15.75" hidden="false" customHeight="false" outlineLevel="0" collapsed="false">
      <c r="E881" s="26"/>
    </row>
    <row r="882" customFormat="false" ht="15.75" hidden="false" customHeight="false" outlineLevel="0" collapsed="false">
      <c r="E882" s="26"/>
    </row>
    <row r="883" customFormat="false" ht="15.75" hidden="false" customHeight="false" outlineLevel="0" collapsed="false">
      <c r="E883" s="26"/>
    </row>
    <row r="884" customFormat="false" ht="15.75" hidden="false" customHeight="false" outlineLevel="0" collapsed="false">
      <c r="E884" s="26"/>
    </row>
    <row r="885" customFormat="false" ht="15.75" hidden="false" customHeight="false" outlineLevel="0" collapsed="false">
      <c r="E885" s="26"/>
    </row>
    <row r="886" customFormat="false" ht="15.75" hidden="false" customHeight="false" outlineLevel="0" collapsed="false">
      <c r="E886" s="26"/>
    </row>
    <row r="887" customFormat="false" ht="15.75" hidden="false" customHeight="false" outlineLevel="0" collapsed="false">
      <c r="E887" s="26"/>
    </row>
    <row r="888" customFormat="false" ht="15.75" hidden="false" customHeight="false" outlineLevel="0" collapsed="false">
      <c r="E888" s="26"/>
    </row>
    <row r="889" customFormat="false" ht="15.75" hidden="false" customHeight="false" outlineLevel="0" collapsed="false">
      <c r="E889" s="26"/>
    </row>
    <row r="890" customFormat="false" ht="15.75" hidden="false" customHeight="false" outlineLevel="0" collapsed="false">
      <c r="E890" s="26"/>
    </row>
    <row r="891" customFormat="false" ht="15.75" hidden="false" customHeight="false" outlineLevel="0" collapsed="false">
      <c r="E891" s="26"/>
    </row>
    <row r="892" customFormat="false" ht="15.75" hidden="false" customHeight="false" outlineLevel="0" collapsed="false">
      <c r="E892" s="26"/>
    </row>
    <row r="893" customFormat="false" ht="15.75" hidden="false" customHeight="false" outlineLevel="0" collapsed="false">
      <c r="E893" s="26"/>
    </row>
    <row r="894" customFormat="false" ht="15.75" hidden="false" customHeight="false" outlineLevel="0" collapsed="false">
      <c r="E894" s="26"/>
    </row>
    <row r="895" customFormat="false" ht="15.75" hidden="false" customHeight="false" outlineLevel="0" collapsed="false">
      <c r="E895" s="26"/>
    </row>
    <row r="896" customFormat="false" ht="15.75" hidden="false" customHeight="false" outlineLevel="0" collapsed="false">
      <c r="E896" s="26"/>
    </row>
    <row r="897" customFormat="false" ht="15.75" hidden="false" customHeight="false" outlineLevel="0" collapsed="false">
      <c r="E897" s="26"/>
    </row>
    <row r="898" customFormat="false" ht="15.75" hidden="false" customHeight="false" outlineLevel="0" collapsed="false">
      <c r="E898" s="26"/>
    </row>
    <row r="899" customFormat="false" ht="15.75" hidden="false" customHeight="false" outlineLevel="0" collapsed="false">
      <c r="E899" s="26"/>
    </row>
    <row r="900" customFormat="false" ht="15.75" hidden="false" customHeight="false" outlineLevel="0" collapsed="false">
      <c r="E900" s="26"/>
    </row>
    <row r="901" customFormat="false" ht="15.75" hidden="false" customHeight="false" outlineLevel="0" collapsed="false">
      <c r="E901" s="26"/>
    </row>
    <row r="902" customFormat="false" ht="15.75" hidden="false" customHeight="false" outlineLevel="0" collapsed="false">
      <c r="E902" s="26"/>
    </row>
    <row r="903" customFormat="false" ht="15.75" hidden="false" customHeight="false" outlineLevel="0" collapsed="false">
      <c r="E903" s="26"/>
    </row>
    <row r="904" customFormat="false" ht="15.75" hidden="false" customHeight="false" outlineLevel="0" collapsed="false">
      <c r="E904" s="26"/>
    </row>
    <row r="905" customFormat="false" ht="15.75" hidden="false" customHeight="false" outlineLevel="0" collapsed="false">
      <c r="E905" s="26"/>
    </row>
    <row r="906" customFormat="false" ht="15.75" hidden="false" customHeight="false" outlineLevel="0" collapsed="false">
      <c r="E906" s="26"/>
    </row>
    <row r="907" customFormat="false" ht="15.75" hidden="false" customHeight="false" outlineLevel="0" collapsed="false">
      <c r="E907" s="26"/>
    </row>
    <row r="908" customFormat="false" ht="15.75" hidden="false" customHeight="false" outlineLevel="0" collapsed="false">
      <c r="E908" s="26"/>
    </row>
    <row r="909" customFormat="false" ht="15.75" hidden="false" customHeight="false" outlineLevel="0" collapsed="false">
      <c r="E909" s="26"/>
    </row>
    <row r="910" customFormat="false" ht="15.75" hidden="false" customHeight="false" outlineLevel="0" collapsed="false">
      <c r="E910" s="26"/>
    </row>
    <row r="911" customFormat="false" ht="15.75" hidden="false" customHeight="false" outlineLevel="0" collapsed="false">
      <c r="E911" s="26"/>
    </row>
    <row r="912" customFormat="false" ht="15.75" hidden="false" customHeight="false" outlineLevel="0" collapsed="false">
      <c r="E912" s="26"/>
    </row>
    <row r="913" customFormat="false" ht="15.75" hidden="false" customHeight="false" outlineLevel="0" collapsed="false">
      <c r="E913" s="26"/>
    </row>
    <row r="914" customFormat="false" ht="15.75" hidden="false" customHeight="false" outlineLevel="0" collapsed="false">
      <c r="E914" s="26"/>
    </row>
    <row r="915" customFormat="false" ht="15.75" hidden="false" customHeight="false" outlineLevel="0" collapsed="false">
      <c r="E915" s="26"/>
    </row>
    <row r="916" customFormat="false" ht="15.75" hidden="false" customHeight="false" outlineLevel="0" collapsed="false">
      <c r="E916" s="26"/>
    </row>
    <row r="917" customFormat="false" ht="15.75" hidden="false" customHeight="false" outlineLevel="0" collapsed="false">
      <c r="E917" s="26"/>
    </row>
    <row r="918" customFormat="false" ht="15.75" hidden="false" customHeight="false" outlineLevel="0" collapsed="false">
      <c r="E918" s="26"/>
    </row>
    <row r="919" customFormat="false" ht="15.75" hidden="false" customHeight="false" outlineLevel="0" collapsed="false">
      <c r="E919" s="26"/>
    </row>
    <row r="920" customFormat="false" ht="15.75" hidden="false" customHeight="false" outlineLevel="0" collapsed="false">
      <c r="E920" s="26"/>
    </row>
    <row r="921" customFormat="false" ht="15.75" hidden="false" customHeight="false" outlineLevel="0" collapsed="false">
      <c r="E921" s="26"/>
    </row>
    <row r="922" customFormat="false" ht="15.75" hidden="false" customHeight="false" outlineLevel="0" collapsed="false">
      <c r="E922" s="26"/>
    </row>
    <row r="923" customFormat="false" ht="15.75" hidden="false" customHeight="false" outlineLevel="0" collapsed="false">
      <c r="E923" s="26"/>
    </row>
    <row r="924" customFormat="false" ht="15.75" hidden="false" customHeight="false" outlineLevel="0" collapsed="false">
      <c r="E924" s="26"/>
    </row>
    <row r="925" customFormat="false" ht="15.75" hidden="false" customHeight="false" outlineLevel="0" collapsed="false">
      <c r="E925" s="26"/>
    </row>
    <row r="926" customFormat="false" ht="15.75" hidden="false" customHeight="false" outlineLevel="0" collapsed="false">
      <c r="E926" s="26"/>
    </row>
    <row r="927" customFormat="false" ht="15.75" hidden="false" customHeight="false" outlineLevel="0" collapsed="false">
      <c r="E927" s="26"/>
    </row>
    <row r="928" customFormat="false" ht="15.75" hidden="false" customHeight="false" outlineLevel="0" collapsed="false">
      <c r="E928" s="26"/>
    </row>
    <row r="929" customFormat="false" ht="15.75" hidden="false" customHeight="false" outlineLevel="0" collapsed="false">
      <c r="E929" s="26"/>
    </row>
    <row r="930" customFormat="false" ht="15.75" hidden="false" customHeight="false" outlineLevel="0" collapsed="false">
      <c r="E930" s="26"/>
    </row>
    <row r="931" customFormat="false" ht="15.75" hidden="false" customHeight="false" outlineLevel="0" collapsed="false">
      <c r="E931" s="26"/>
    </row>
    <row r="932" customFormat="false" ht="15.75" hidden="false" customHeight="false" outlineLevel="0" collapsed="false">
      <c r="E932" s="26"/>
    </row>
    <row r="933" customFormat="false" ht="15.75" hidden="false" customHeight="false" outlineLevel="0" collapsed="false">
      <c r="E933" s="26"/>
    </row>
    <row r="934" customFormat="false" ht="15.75" hidden="false" customHeight="false" outlineLevel="0" collapsed="false">
      <c r="E934" s="26"/>
    </row>
    <row r="935" customFormat="false" ht="15.75" hidden="false" customHeight="false" outlineLevel="0" collapsed="false">
      <c r="E935" s="26"/>
    </row>
    <row r="936" customFormat="false" ht="15.75" hidden="false" customHeight="false" outlineLevel="0" collapsed="false">
      <c r="E936" s="26"/>
    </row>
    <row r="937" customFormat="false" ht="15.75" hidden="false" customHeight="false" outlineLevel="0" collapsed="false">
      <c r="E937" s="26"/>
    </row>
    <row r="938" customFormat="false" ht="15.75" hidden="false" customHeight="false" outlineLevel="0" collapsed="false">
      <c r="E938" s="26"/>
    </row>
    <row r="939" customFormat="false" ht="15.75" hidden="false" customHeight="false" outlineLevel="0" collapsed="false">
      <c r="E939" s="26"/>
    </row>
    <row r="940" customFormat="false" ht="15.75" hidden="false" customHeight="false" outlineLevel="0" collapsed="false">
      <c r="E940" s="26"/>
    </row>
    <row r="941" customFormat="false" ht="15.75" hidden="false" customHeight="false" outlineLevel="0" collapsed="false">
      <c r="E941" s="26"/>
    </row>
    <row r="942" customFormat="false" ht="15.75" hidden="false" customHeight="false" outlineLevel="0" collapsed="false">
      <c r="E942" s="26"/>
    </row>
    <row r="943" customFormat="false" ht="15.75" hidden="false" customHeight="false" outlineLevel="0" collapsed="false">
      <c r="E943" s="26"/>
    </row>
    <row r="944" customFormat="false" ht="15.75" hidden="false" customHeight="false" outlineLevel="0" collapsed="false">
      <c r="E944" s="26"/>
    </row>
    <row r="945" customFormat="false" ht="15.75" hidden="false" customHeight="false" outlineLevel="0" collapsed="false">
      <c r="E945" s="26"/>
    </row>
    <row r="946" customFormat="false" ht="15.75" hidden="false" customHeight="false" outlineLevel="0" collapsed="false">
      <c r="E946" s="26"/>
    </row>
    <row r="947" customFormat="false" ht="15.75" hidden="false" customHeight="false" outlineLevel="0" collapsed="false">
      <c r="E947" s="26"/>
    </row>
    <row r="948" customFormat="false" ht="15.75" hidden="false" customHeight="false" outlineLevel="0" collapsed="false">
      <c r="E948" s="26"/>
    </row>
    <row r="949" customFormat="false" ht="15.75" hidden="false" customHeight="false" outlineLevel="0" collapsed="false">
      <c r="E949" s="26"/>
    </row>
    <row r="950" customFormat="false" ht="15.75" hidden="false" customHeight="false" outlineLevel="0" collapsed="false">
      <c r="E950" s="26"/>
    </row>
    <row r="951" customFormat="false" ht="15.75" hidden="false" customHeight="false" outlineLevel="0" collapsed="false">
      <c r="E951" s="26"/>
    </row>
    <row r="952" customFormat="false" ht="15.75" hidden="false" customHeight="false" outlineLevel="0" collapsed="false">
      <c r="E952" s="26"/>
    </row>
    <row r="953" customFormat="false" ht="15.75" hidden="false" customHeight="false" outlineLevel="0" collapsed="false">
      <c r="E953" s="26"/>
    </row>
    <row r="954" customFormat="false" ht="15.75" hidden="false" customHeight="false" outlineLevel="0" collapsed="false">
      <c r="E954" s="26"/>
    </row>
    <row r="955" customFormat="false" ht="15.75" hidden="false" customHeight="false" outlineLevel="0" collapsed="false">
      <c r="E955" s="26"/>
    </row>
    <row r="956" customFormat="false" ht="15.75" hidden="false" customHeight="false" outlineLevel="0" collapsed="false">
      <c r="E956" s="26"/>
    </row>
    <row r="957" customFormat="false" ht="15.75" hidden="false" customHeight="false" outlineLevel="0" collapsed="false">
      <c r="E957" s="26"/>
    </row>
    <row r="958" customFormat="false" ht="15.75" hidden="false" customHeight="false" outlineLevel="0" collapsed="false">
      <c r="E958" s="26"/>
    </row>
    <row r="959" customFormat="false" ht="15.75" hidden="false" customHeight="false" outlineLevel="0" collapsed="false">
      <c r="E959" s="26"/>
    </row>
    <row r="960" customFormat="false" ht="15.75" hidden="false" customHeight="false" outlineLevel="0" collapsed="false">
      <c r="E960" s="26"/>
    </row>
    <row r="961" customFormat="false" ht="15.75" hidden="false" customHeight="false" outlineLevel="0" collapsed="false">
      <c r="E961" s="26"/>
    </row>
    <row r="962" customFormat="false" ht="15.75" hidden="false" customHeight="false" outlineLevel="0" collapsed="false">
      <c r="E962" s="26"/>
    </row>
    <row r="963" customFormat="false" ht="15.75" hidden="false" customHeight="false" outlineLevel="0" collapsed="false">
      <c r="E963" s="26"/>
    </row>
    <row r="964" customFormat="false" ht="15.75" hidden="false" customHeight="false" outlineLevel="0" collapsed="false">
      <c r="E964" s="26"/>
    </row>
    <row r="965" customFormat="false" ht="15.75" hidden="false" customHeight="false" outlineLevel="0" collapsed="false">
      <c r="E965" s="26"/>
    </row>
    <row r="966" customFormat="false" ht="15.75" hidden="false" customHeight="false" outlineLevel="0" collapsed="false">
      <c r="E966" s="26"/>
    </row>
    <row r="967" customFormat="false" ht="15.75" hidden="false" customHeight="false" outlineLevel="0" collapsed="false">
      <c r="E967" s="26"/>
    </row>
    <row r="968" customFormat="false" ht="15.75" hidden="false" customHeight="false" outlineLevel="0" collapsed="false">
      <c r="E968" s="26"/>
    </row>
    <row r="969" customFormat="false" ht="15.75" hidden="false" customHeight="false" outlineLevel="0" collapsed="false">
      <c r="E969" s="26"/>
    </row>
    <row r="970" customFormat="false" ht="15.75" hidden="false" customHeight="false" outlineLevel="0" collapsed="false">
      <c r="E970" s="26"/>
    </row>
    <row r="971" customFormat="false" ht="15.75" hidden="false" customHeight="false" outlineLevel="0" collapsed="false">
      <c r="E971" s="26"/>
    </row>
    <row r="972" customFormat="false" ht="15.75" hidden="false" customHeight="false" outlineLevel="0" collapsed="false">
      <c r="E972" s="26"/>
    </row>
    <row r="973" customFormat="false" ht="15.75" hidden="false" customHeight="false" outlineLevel="0" collapsed="false">
      <c r="E973" s="26"/>
    </row>
    <row r="974" customFormat="false" ht="15.75" hidden="false" customHeight="false" outlineLevel="0" collapsed="false">
      <c r="E974" s="26"/>
    </row>
    <row r="975" customFormat="false" ht="15.75" hidden="false" customHeight="false" outlineLevel="0" collapsed="false">
      <c r="E975" s="26"/>
    </row>
    <row r="976" customFormat="false" ht="15.75" hidden="false" customHeight="false" outlineLevel="0" collapsed="false">
      <c r="E976" s="26"/>
    </row>
    <row r="977" customFormat="false" ht="15.75" hidden="false" customHeight="false" outlineLevel="0" collapsed="false">
      <c r="E977" s="26"/>
    </row>
    <row r="978" customFormat="false" ht="15.75" hidden="false" customHeight="false" outlineLevel="0" collapsed="false">
      <c r="E978" s="26"/>
    </row>
    <row r="979" customFormat="false" ht="15.75" hidden="false" customHeight="false" outlineLevel="0" collapsed="false">
      <c r="E979" s="26"/>
    </row>
    <row r="980" customFormat="false" ht="15.75" hidden="false" customHeight="false" outlineLevel="0" collapsed="false">
      <c r="E980" s="26"/>
    </row>
    <row r="981" customFormat="false" ht="15.75" hidden="false" customHeight="false" outlineLevel="0" collapsed="false">
      <c r="E981" s="26"/>
    </row>
    <row r="982" customFormat="false" ht="15.75" hidden="false" customHeight="false" outlineLevel="0" collapsed="false">
      <c r="E982" s="26"/>
    </row>
    <row r="983" customFormat="false" ht="15.75" hidden="false" customHeight="false" outlineLevel="0" collapsed="false">
      <c r="E983" s="26"/>
    </row>
    <row r="984" customFormat="false" ht="15.75" hidden="false" customHeight="false" outlineLevel="0" collapsed="false">
      <c r="E984" s="26"/>
    </row>
    <row r="985" customFormat="false" ht="15.75" hidden="false" customHeight="false" outlineLevel="0" collapsed="false">
      <c r="E985" s="26"/>
    </row>
    <row r="986" customFormat="false" ht="15.75" hidden="false" customHeight="false" outlineLevel="0" collapsed="false">
      <c r="E986" s="26"/>
    </row>
    <row r="987" customFormat="false" ht="15.75" hidden="false" customHeight="false" outlineLevel="0" collapsed="false">
      <c r="E987" s="26"/>
    </row>
    <row r="988" customFormat="false" ht="15.75" hidden="false" customHeight="false" outlineLevel="0" collapsed="false">
      <c r="E988" s="26"/>
    </row>
    <row r="989" customFormat="false" ht="15.75" hidden="false" customHeight="false" outlineLevel="0" collapsed="false">
      <c r="E989" s="26"/>
    </row>
    <row r="990" customFormat="false" ht="15.75" hidden="false" customHeight="false" outlineLevel="0" collapsed="false">
      <c r="E990" s="26"/>
    </row>
    <row r="991" customFormat="false" ht="15.75" hidden="false" customHeight="false" outlineLevel="0" collapsed="false">
      <c r="E991" s="26"/>
    </row>
    <row r="992" customFormat="false" ht="15.75" hidden="false" customHeight="false" outlineLevel="0" collapsed="false">
      <c r="E992" s="26"/>
    </row>
    <row r="993" customFormat="false" ht="15.75" hidden="false" customHeight="false" outlineLevel="0" collapsed="false">
      <c r="E993" s="26"/>
    </row>
    <row r="994" customFormat="false" ht="15.75" hidden="false" customHeight="false" outlineLevel="0" collapsed="false">
      <c r="E994" s="26"/>
    </row>
  </sheetData>
  <mergeCells count="2">
    <mergeCell ref="B1:D1"/>
    <mergeCell ref="E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2024-03-21T15:46:30Z</dcterms:modified>
  <cp:revision>4</cp:revision>
  <dc:subject/>
  <dc:title/>
</cp:coreProperties>
</file>